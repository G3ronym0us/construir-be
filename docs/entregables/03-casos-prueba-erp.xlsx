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Casos de prueba" sheetId="2" state="visible" r:id="rId2"/>
    <sheet name="Comandos curl" sheetId="3" state="visible" r:id="rId3"/>
    <sheet name="Hallazgos" sheetId="4" state="visible" r:id="rId4"/>
    <sheet name="Resumen" sheetId="5" state="visible" r:id="rId5"/>
  </sheets>
  <definedNames>
    <definedName name="_xlnm._FilterDatabase" localSheetId="1" hidden="1">'Casos de prueba'!$A$1:$J$136</definedName>
    <definedName name="_xlnm._FilterDatabase" localSheetId="2" hidden="1">'Comandos curl'!$A$1:$D$35</definedName>
    <definedName name="_xlnm._FilterDatabase" localSheetId="3" hidden="1">'Hallazgos'!$A$1:$G$36</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1F4E79"/>
      <sz val="16"/>
    </font>
    <font>
      <i val="1"/>
      <color rgb="00666666"/>
    </font>
    <font>
      <b val="1"/>
      <color rgb="002E75B6"/>
      <sz val="12"/>
    </font>
    <font>
      <b val="1"/>
    </font>
    <font>
      <i val="1"/>
      <color rgb="00777777"/>
      <sz val="10"/>
    </font>
    <font>
      <b val="1"/>
      <color rgb="009C0006"/>
      <sz val="12"/>
    </font>
    <font>
      <b val="1"/>
      <color rgb="00FFFFFF"/>
      <sz val="11"/>
    </font>
    <font>
      <name val="Consolas"/>
      <sz val="10"/>
    </font>
    <font>
      <name val="Consolas"/>
      <sz val="9"/>
    </font>
    <font>
      <b val="1"/>
      <sz val="12"/>
    </font>
    <font>
      <b val="1"/>
      <color rgb="001F4E79"/>
      <sz val="12"/>
    </font>
  </fonts>
  <fills count="9">
    <fill>
      <patternFill/>
    </fill>
    <fill>
      <patternFill patternType="gray125"/>
    </fill>
    <fill>
      <patternFill patternType="solid">
        <fgColor rgb="00FFF2CC"/>
      </patternFill>
    </fill>
    <fill>
      <patternFill patternType="solid">
        <fgColor rgb="001F4E79"/>
      </patternFill>
    </fill>
    <fill>
      <patternFill patternType="solid">
        <fgColor rgb="00C6EFCE"/>
      </patternFill>
    </fill>
    <fill>
      <patternFill patternType="solid">
        <fgColor rgb="00FFC7CE"/>
      </patternFill>
    </fill>
    <fill>
      <patternFill patternType="solid">
        <fgColor rgb="00FFFFFF"/>
      </patternFill>
    </fill>
    <fill>
      <patternFill patternType="solid">
        <fgColor rgb="00FCE4D6"/>
      </patternFill>
    </fill>
    <fill>
      <patternFill patternType="solid">
        <fgColor rgb="00F2F6FA"/>
      </patternFill>
    </fill>
  </fills>
  <borders count="2">
    <border>
      <left/>
      <right/>
      <top/>
      <bottom/>
      <diagonal/>
    </border>
    <border>
      <left style="thin">
        <color rgb="00B7C6D9"/>
      </left>
      <right style="thin">
        <color rgb="00B7C6D9"/>
      </right>
      <top style="thin">
        <color rgb="00B7C6D9"/>
      </top>
      <bottom style="thin">
        <color rgb="00B7C6D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0" fillId="2" borderId="1"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top" wrapText="1"/>
    </xf>
    <xf numFmtId="0" fontId="4" fillId="4" borderId="1" applyAlignment="1" pivotButton="0" quotePrefix="0" xfId="0">
      <alignment vertical="top" wrapText="1"/>
    </xf>
    <xf numFmtId="0" fontId="0"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8" fillId="0" borderId="0" applyAlignment="1" pivotButton="0" quotePrefix="0" xfId="0">
      <alignment vertical="top"/>
    </xf>
    <xf numFmtId="0" fontId="4" fillId="8" borderId="1" applyAlignment="1" pivotButton="0" quotePrefix="0" xfId="0">
      <alignment horizontal="center" vertical="top" wrapText="1"/>
    </xf>
    <xf numFmtId="0" fontId="0" fillId="8" borderId="1" applyAlignment="1" pivotButton="0" quotePrefix="0" xfId="0">
      <alignment vertical="top" wrapText="1"/>
    </xf>
    <xf numFmtId="0" fontId="0" fillId="8" borderId="1" applyAlignment="1" pivotButton="0" quotePrefix="0" xfId="0">
      <alignment horizontal="center" vertical="top" wrapText="1"/>
    </xf>
    <xf numFmtId="0" fontId="9" fillId="8" borderId="1" applyAlignment="1" pivotButton="0" quotePrefix="0" xfId="0">
      <alignment vertical="top" wrapText="1"/>
    </xf>
    <xf numFmtId="0" fontId="4" fillId="6" borderId="1" applyAlignment="1" pivotButton="0" quotePrefix="0" xfId="0">
      <alignment horizontal="center" vertical="top" wrapText="1"/>
    </xf>
    <xf numFmtId="0" fontId="0" fillId="6" borderId="1" applyAlignment="1" pivotButton="0" quotePrefix="0" xfId="0">
      <alignment vertical="top" wrapText="1"/>
    </xf>
    <xf numFmtId="0" fontId="0" fillId="6" borderId="1" applyAlignment="1" pivotButton="0" quotePrefix="0" xfId="0">
      <alignment horizontal="center" vertical="top" wrapText="1"/>
    </xf>
    <xf numFmtId="0" fontId="9" fillId="6" borderId="1" applyAlignment="1" pivotButton="0" quotePrefix="0" xfId="0">
      <alignment vertical="top" wrapText="1"/>
    </xf>
    <xf numFmtId="0" fontId="4" fillId="0" borderId="1" pivotButton="0" quotePrefix="0" xfId="0"/>
    <xf numFmtId="0" fontId="10" fillId="0" borderId="1" applyAlignment="1" pivotButton="0" quotePrefix="0" xfId="0">
      <alignment horizontal="center" vertical="center"/>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164" fontId="11" fillId="0"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ont>
        <b val="1"/>
        <color rgb="00833C0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E53"/>
  <sheetViews>
    <sheetView showGridLines="0" workbookViewId="0">
      <pane ySplit="1" topLeftCell="A2" activePane="bottomLeft" state="frozen"/>
      <selection pane="bottomLeft" activeCell="A1" sqref="A1"/>
    </sheetView>
  </sheetViews>
  <sheetFormatPr baseColWidth="8" defaultRowHeight="15"/>
  <cols>
    <col width="3" customWidth="1" min="1" max="1"/>
    <col width="32" customWidth="1" min="2" max="2"/>
    <col width="46" customWidth="1" min="3" max="3"/>
    <col width="46" customWidth="1" min="4" max="4"/>
    <col width="30" customWidth="1" min="5" max="5"/>
  </cols>
  <sheetData>
    <row r="2">
      <c r="B2" s="1" t="inlineStr">
        <is>
          <t>Pruebas de la integración Construir ↔ OrbisNet</t>
        </is>
      </c>
    </row>
    <row r="3">
      <c r="B3" s="2" t="inlineStr">
        <is>
          <t>Guía para marcar en vivo, paso a paso, durante la sesión con el cliente.</t>
        </is>
      </c>
    </row>
    <row r="5">
      <c r="B5" s="3" t="inlineStr">
        <is>
          <t>Cómo se usa este documento</t>
        </is>
      </c>
    </row>
    <row r="6">
      <c r="B6" s="4" t="inlineStr">
        <is>
          <t>1. Llenar primero el cuadro amarillo de abajo: dirección del servidor, llave de API, quién prueba y la fecha.</t>
        </is>
      </c>
    </row>
    <row r="7">
      <c r="B7" s="4" t="inlineStr">
        <is>
          <t>2. Ir a la hoja «Casos de prueba». Cada fila es UN paso. Se hacen en orden, de arriba hacia abajo.</t>
        </is>
      </c>
    </row>
    <row r="8">
      <c r="B8" s="4" t="inlineStr">
        <is>
          <t>3. La columna «Qué hacer» dice la acción en palabras. La columna «Petición» dice a qué dirección se llama.</t>
        </is>
      </c>
    </row>
    <row r="9">
      <c r="B9" s="4" t="inlineStr">
        <is>
          <t>4. En la hoja «Comandos curl» está el comando exacto de cada caso, listo para copiar y pegar en la terminal.</t>
        </is>
      </c>
    </row>
    <row r="10">
      <c r="B10" s="4" t="inlineStr">
        <is>
          <t>5. Comparar lo que salió con la columna «Resultado esperado».</t>
        </is>
      </c>
    </row>
    <row r="11">
      <c r="B11" s="4" t="inlineStr">
        <is>
          <t>6. Marcar una X en «✔ OK» si salió como dice, o una X en «✘ Falla» si no. Se elige de la lista de la casilla.</t>
        </is>
      </c>
    </row>
    <row r="12">
      <c r="B12" s="4" t="inlineStr">
        <is>
          <t>7. Si algo falla, anotarlo en la hoja «Hallazgos» con el número de caso, para no perderlo.</t>
        </is>
      </c>
    </row>
    <row r="13">
      <c r="B13" s="4" t="inlineStr">
        <is>
          <t>8. La hoja «Resumen» lleva la cuenta sola: no hay que llenar nada ahí.</t>
        </is>
      </c>
    </row>
    <row r="15">
      <c r="B15" s="3" t="inlineStr">
        <is>
          <t>Datos del entorno — llenar ANTES de empezar</t>
        </is>
      </c>
    </row>
    <row r="16">
      <c r="B16" s="5" t="inlineStr">
        <is>
          <t>Dirección del servidor (URL base)</t>
        </is>
      </c>
      <c r="C16" s="6" t="inlineStr"/>
      <c r="D16" s="7" t="inlineStr">
        <is>
          <t>ej. https://api.construir.com</t>
        </is>
      </c>
    </row>
    <row r="17">
      <c r="B17" s="5" t="inlineStr">
        <is>
          <t>Llave de API — clave (consumer key)</t>
        </is>
      </c>
      <c r="C17" s="6" t="inlineStr"/>
      <c r="D17" s="7" t="inlineStr"/>
    </row>
    <row r="18">
      <c r="B18" s="5" t="inlineStr">
        <is>
          <t>Llave de API — secreto (consumer secret)</t>
        </is>
      </c>
      <c r="C18" s="6" t="inlineStr"/>
      <c r="D18" s="7" t="inlineStr">
        <is>
          <t>no escribirlo completo si el archivo se comparte</t>
        </is>
      </c>
    </row>
    <row r="19">
      <c r="B19" s="5" t="inlineStr">
        <is>
          <t>Permisos de esa llave</t>
        </is>
      </c>
      <c r="C19" s="6" t="inlineStr"/>
      <c r="D19" s="7" t="inlineStr">
        <is>
          <t>debe ser «lectura y escritura» — ver CP-15</t>
        </is>
      </c>
    </row>
    <row r="20">
      <c r="B20" s="5" t="inlineStr">
        <is>
          <t>Llave de SOLO LECTURA (para CP-15)</t>
        </is>
      </c>
      <c r="C20" s="6" t="inlineStr"/>
      <c r="D20" s="7" t="inlineStr"/>
    </row>
    <row r="21">
      <c r="B21" s="5" t="inlineStr">
        <is>
          <t>Llave de SOLO ESCRITURA (para CP-15)</t>
        </is>
      </c>
      <c r="C21" s="6" t="inlineStr"/>
      <c r="D21" s="7" t="inlineStr"/>
    </row>
    <row r="22">
      <c r="B22" s="5" t="inlineStr">
        <is>
          <t>Quién ejecuta las pruebas</t>
        </is>
      </c>
      <c r="C22" s="6" t="inlineStr"/>
      <c r="D22" s="7" t="inlineStr"/>
    </row>
    <row r="23">
      <c r="B23" s="5" t="inlineStr">
        <is>
          <t>Quién acompaña por parte del cliente</t>
        </is>
      </c>
      <c r="C23" s="6" t="inlineStr"/>
      <c r="D23" s="7" t="inlineStr"/>
    </row>
    <row r="24">
      <c r="B24" s="5" t="inlineStr">
        <is>
          <t>Fecha de la sesión</t>
        </is>
      </c>
      <c r="C24" s="6" t="inlineStr"/>
      <c r="D24" s="7" t="inlineStr"/>
    </row>
    <row r="25">
      <c r="B25" s="5" t="inlineStr">
        <is>
          <t>Tasa BCV vigente al empezar (y su fecha)</t>
        </is>
      </c>
      <c r="C25" s="6" t="inlineStr"/>
      <c r="D25" s="7" t="inlineStr">
        <is>
          <t>se consulta en GET /exchange-rates/current</t>
        </is>
      </c>
    </row>
    <row r="26">
      <c r="B26" s="5" t="inlineStr">
        <is>
          <t>SKU del producto de prueba</t>
        </is>
      </c>
      <c r="C26" s="6" t="inlineStr"/>
      <c r="D26" s="7" t="inlineStr"/>
    </row>
    <row r="27">
      <c r="B27" s="5" t="inlineStr">
        <is>
          <t>Existencia (stock) inicial de ese producto</t>
        </is>
      </c>
      <c r="C27" s="6" t="inlineStr"/>
      <c r="D27" s="7" t="inlineStr"/>
    </row>
    <row r="28">
      <c r="B28" s="5" t="inlineStr">
        <is>
          <t>Números de pedido creados hoy</t>
        </is>
      </c>
      <c r="C28" s="6" t="inlineStr"/>
      <c r="D28" s="7" t="inlineStr">
        <is>
          <t>anotarlos TODOS: hay que anularlos al terminar</t>
        </is>
      </c>
    </row>
    <row r="30">
      <c r="B30" s="8" t="inlineStr">
        <is>
          <t>⚠ Advertencias importantes</t>
        </is>
      </c>
    </row>
    <row r="31">
      <c r="B31" s="4" t="inlineStr">
        <is>
          <t>•  Los pedidos de prueba DESCUENTAN INVENTARIO REAL. Anotar el número de cada pedido creado y anularlos al terminar.</t>
        </is>
      </c>
    </row>
    <row r="32">
      <c r="B32" s="4" t="inlineStr">
        <is>
          <t>•  Los correos SALEN DE VERDAD, al cliente y al administrador. Usar siempre una dirección propia en el checkout.</t>
        </is>
      </c>
    </row>
    <row r="33">
      <c r="B33" s="4" t="inlineStr">
        <is>
          <t>•  Facturar un pedido (status=completed) dispara el correo de «pago confirmado» al cliente. No hacerlo con el correo de un cliente real.</t>
        </is>
      </c>
    </row>
    <row r="34">
      <c r="B34" s="4" t="inlineStr">
        <is>
          <t>•  Anular un pedido NO envía ningún correo. Si el guion viejo decía lo contrario, ese guion está desactualizado (ver hallazgo H-07).</t>
        </is>
      </c>
    </row>
    <row r="35">
      <c r="B35" s="4" t="inlineStr">
        <is>
          <t>•  Antes de encender el sondeo del ERP, revisar que no queden pedidos viejos en on-hold con impuesto en cero: el ERP les facturaría un IVA que el cliente nunca pagó.</t>
        </is>
      </c>
    </row>
    <row r="36">
      <c r="B36" s="4" t="inlineStr">
        <is>
          <t>•  Las llaves de prueba con permiso de escritura pueden cambiar pedidos reales. Trabajar sólo con los pedidos anotados en el cuadro de arriba.</t>
        </is>
      </c>
    </row>
    <row r="37">
      <c r="B37" s="4" t="inlineStr">
        <is>
          <t>•  Anotar SIEMPRE la existencia del producto antes y después de cada anulación: es la comprobación más importante de todas.</t>
        </is>
      </c>
    </row>
    <row r="39">
      <c r="B39" s="3" t="inlineStr">
        <is>
          <t>Leyenda de los resultados</t>
        </is>
      </c>
    </row>
    <row r="40">
      <c r="A40" s="9" t="inlineStr"/>
      <c r="B40" s="9" t="inlineStr">
        <is>
          <t>Marca</t>
        </is>
      </c>
      <c r="C40" s="9" t="inlineStr">
        <is>
          <t>Qué significa</t>
        </is>
      </c>
      <c r="D40" s="9" t="inlineStr">
        <is>
          <t>Qué hacer después</t>
        </is>
      </c>
      <c r="E40" s="9" t="inlineStr"/>
    </row>
    <row r="41">
      <c r="B41" s="10" t="inlineStr">
        <is>
          <t>X en «✔ OK»</t>
        </is>
      </c>
      <c r="C41" s="11" t="inlineStr">
        <is>
          <t>El paso salió exactamente como dice el resultado esperado.</t>
        </is>
      </c>
      <c r="D41" s="11" t="inlineStr">
        <is>
          <t>Seguir con el paso siguiente.</t>
        </is>
      </c>
    </row>
    <row r="42">
      <c r="B42" s="12" t="inlineStr">
        <is>
          <t>X en «✘ Falla»</t>
        </is>
      </c>
      <c r="C42" s="11" t="inlineStr">
        <is>
          <t>El resultado fue distinto del esperado.</t>
        </is>
      </c>
      <c r="D42" s="11" t="inlineStr">
        <is>
          <t>Anotarlo en la hoja «Hallazgos» con el número de caso y seguir.</t>
        </is>
      </c>
    </row>
    <row r="43">
      <c r="B43" s="13" t="inlineStr">
        <is>
          <t>Las dos vacías</t>
        </is>
      </c>
      <c r="C43" s="11" t="inlineStr">
        <is>
          <t>El paso todavía no se ha probado.</t>
        </is>
      </c>
      <c r="D43" s="11" t="inlineStr">
        <is>
          <t>Queda pendiente; el Resumen lo cuenta como «sin probar».</t>
        </is>
      </c>
    </row>
    <row r="44">
      <c r="B44" s="14" t="inlineStr">
        <is>
          <t>⚠ en Observaciones</t>
        </is>
      </c>
      <c r="C44" s="11" t="inlineStr">
        <is>
          <t>Es un punto que el código no valida o que hay que confirmar en vivo.</t>
        </is>
      </c>
      <c r="D44" s="11" t="inlineStr">
        <is>
          <t>Anotar el comportamiento REAL que se vio, aunque el paso pase.</t>
        </is>
      </c>
    </row>
    <row r="46">
      <c r="B46" s="3" t="inlineStr">
        <is>
          <t>El flujo del ERP, en cuatro pasos</t>
        </is>
      </c>
    </row>
    <row r="47">
      <c r="B47" s="15" t="inlineStr">
        <is>
          <t>1. El ERP consulta los pedidos nuevos:      GET  /api/v1/orders/on-hold?page=1&amp;perPage=10</t>
        </is>
      </c>
    </row>
    <row r="48">
      <c r="B48" s="15" t="inlineStr">
        <is>
          <t>2. Registra su orden de compra y confirma:  PUT  /api/v1/orders/{id}   {"status":"pending","order_key":"OC-…"}</t>
        </is>
      </c>
    </row>
    <row r="49">
      <c r="B49" s="15" t="inlineStr">
        <is>
          <t>3. Factura:                                 PUT  /api/v1/orders/{id}   {"status":"completed","order_key":"FAC-…","date_completed":"…"}</t>
        </is>
      </c>
    </row>
    <row r="50">
      <c r="B50" s="15" t="inlineStr">
        <is>
          <t>4. Anula:                                   PUT  /api/v1/orders/{id}   {"status":"cancelled","date_completed":"…"}</t>
        </is>
      </c>
    </row>
    <row r="51">
      <c r="B51" s="15" t="inlineStr"/>
    </row>
    <row r="52">
      <c r="B52" s="15" t="inlineStr">
        <is>
          <t>Autenticación en TODAS las llamadas:        Authorization: Bearer &lt;clave&gt;:&lt;secreto&gt;</t>
        </is>
      </c>
    </row>
    <row r="53">
      <c r="B53" s="15" t="inlineStr">
        <is>
          <t>Estados posibles del pedido:                on-hold → pending → completed   |   cualquiera de los dos primeros → cancelled</t>
        </is>
      </c>
    </row>
  </sheetData>
  <mergeCells count="22">
    <mergeCell ref="B11:D11"/>
    <mergeCell ref="B8:D8"/>
    <mergeCell ref="B13:D13"/>
    <mergeCell ref="B53:D53"/>
    <mergeCell ref="B34:D34"/>
    <mergeCell ref="B10:D10"/>
    <mergeCell ref="B37:D37"/>
    <mergeCell ref="B49:D49"/>
    <mergeCell ref="B9:D9"/>
    <mergeCell ref="B6:D6"/>
    <mergeCell ref="B51:D51"/>
    <mergeCell ref="B33:D33"/>
    <mergeCell ref="B36:D36"/>
    <mergeCell ref="B32:D32"/>
    <mergeCell ref="B35:D35"/>
    <mergeCell ref="B50:D50"/>
    <mergeCell ref="B7:D7"/>
    <mergeCell ref="B47:D47"/>
    <mergeCell ref="B31:D31"/>
    <mergeCell ref="B52:D52"/>
    <mergeCell ref="B12:D12"/>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8" customWidth="1" min="3" max="3"/>
    <col width="54" customWidth="1" min="4" max="4"/>
    <col width="42" customWidth="1" min="5" max="5"/>
    <col width="44" customWidth="1" min="6" max="6"/>
    <col width="62" customWidth="1" min="7" max="7"/>
    <col width="7" customWidth="1" min="8" max="8"/>
    <col width="8" customWidth="1" min="9" max="9"/>
    <col width="46" customWidth="1" min="10" max="10"/>
  </cols>
  <sheetData>
    <row r="1" ht="32" customHeight="1">
      <c r="A1" s="9" t="inlineStr">
        <is>
          <t>ID</t>
        </is>
      </c>
      <c r="B1" s="9" t="inlineStr">
        <is>
          <t>Caso</t>
        </is>
      </c>
      <c r="C1" s="9" t="inlineStr">
        <is>
          <t># Paso</t>
        </is>
      </c>
      <c r="D1" s="9" t="inlineStr">
        <is>
          <t>Qué hacer</t>
        </is>
      </c>
      <c r="E1" s="9" t="inlineStr">
        <is>
          <t>Petición (método + ruta)</t>
        </is>
      </c>
      <c r="F1" s="9" t="inlineStr">
        <is>
          <t>Datos a enviar</t>
        </is>
      </c>
      <c r="G1" s="9" t="inlineStr">
        <is>
          <t>Resultado esperado</t>
        </is>
      </c>
      <c r="H1" s="9" t="inlineStr">
        <is>
          <t>✔ OK</t>
        </is>
      </c>
      <c r="I1" s="9" t="inlineStr">
        <is>
          <t>✘ Falla</t>
        </is>
      </c>
      <c r="J1" s="9" t="inlineStr">
        <is>
          <t>Observaciones</t>
        </is>
      </c>
    </row>
    <row r="2">
      <c r="A2" s="16" t="inlineStr">
        <is>
          <t>CP-01</t>
        </is>
      </c>
      <c r="B2" s="17" t="inlineStr">
        <is>
          <t>Nace el pedido y el ERP lo ve en la cola</t>
        </is>
      </c>
      <c r="C2" s="18" t="n">
        <v>1</v>
      </c>
      <c r="D2" s="17" t="inlineStr">
        <is>
          <t>Anotar la tasa de cambio vigente ANTES de comprar. Escribir en el papel la tasa y su fecha.</t>
        </is>
      </c>
      <c r="E2" s="19" t="inlineStr">
        <is>
          <t>GET {{BASE_URL}}/exchange-rates/current</t>
        </is>
      </c>
      <c r="F2" s="19" t="inlineStr">
        <is>
          <t>Sin cuerpo. No hace falta llave de API.</t>
        </is>
      </c>
      <c r="G2" s="17" t="inlineStr">
        <is>
          <t>200 con la tasa (rate) y la fecha de publicación (date). Ojo: la fecha puede ser de días atrás — es la fecha en que el BCV publicó esa tasa, no la de hoy.</t>
        </is>
      </c>
      <c r="H2" s="18" t="inlineStr"/>
      <c r="I2" s="18" t="inlineStr"/>
      <c r="J2" s="17" t="inlineStr">
        <is>
          <t>Este endpoint es público, lo puede consultar cualquiera.</t>
        </is>
      </c>
    </row>
    <row r="3">
      <c r="A3" s="16" t="inlineStr">
        <is>
          <t>CP-01</t>
        </is>
      </c>
      <c r="B3" s="17" t="inlineStr">
        <is>
          <t>Nace el pedido y el ERP lo ve en la cola</t>
        </is>
      </c>
      <c r="C3" s="18" t="n">
        <v>2</v>
      </c>
      <c r="D3" s="17" t="inlineStr">
        <is>
          <t>En la tienda web, sin iniciar sesión, agregar al carrito 2 unidades de un producto y 1 de otro. Anotar SKU, nombre y precio de cada uno.</t>
        </is>
      </c>
      <c r="E3" s="19" t="inlineStr">
        <is>
          <t>Tienda web (navegador)</t>
        </is>
      </c>
      <c r="F3" s="19" t="inlineStr">
        <is>
          <t>Productos con IVA normal (16%).</t>
        </is>
      </c>
      <c r="G3" s="17" t="inlineStr">
        <is>
          <t>El carrito muestra los 3 artículos. El precio que se ve en el catálogo YA incluye el IVA.</t>
        </is>
      </c>
      <c r="H3" s="18" t="inlineStr"/>
      <c r="I3" s="18" t="inlineStr"/>
      <c r="J3" s="17" t="inlineStr">
        <is>
          <t>Anotar también la existencia (stock) de cada producto: se compara al final.</t>
        </is>
      </c>
    </row>
    <row r="4">
      <c r="A4" s="16" t="inlineStr">
        <is>
          <t>CP-01</t>
        </is>
      </c>
      <c r="B4" s="17" t="inlineStr">
        <is>
          <t>Nace el pedido y el ERP lo ve en la cola</t>
        </is>
      </c>
      <c r="C4" s="18" t="n">
        <v>3</v>
      </c>
      <c r="D4" s="17" t="inlineStr">
        <is>
          <t>Llenar el checkout como invitado: cédula, nombre, teléfono y un correo PROPIO. Elegir 'Retiro en tienda'.</t>
        </is>
      </c>
      <c r="E4" s="19" t="inlineStr">
        <is>
          <t>Tienda web (navegador)</t>
        </is>
      </c>
      <c r="F4" s="19" t="inlineStr">
        <is>
          <t>Usar un correo al que se tenga acceso: los correos salen de verdad.</t>
        </is>
      </c>
      <c r="G4" s="17" t="inlineStr">
        <is>
          <t>El resumen muestra Base + IVA = Total, y la tasa del BCV con su fecha.</t>
        </is>
      </c>
      <c r="H4" s="18" t="inlineStr"/>
      <c r="I4" s="18" t="inlineStr"/>
      <c r="J4" s="17" t="inlineStr">
        <is>
          <t>Si el desglose no cuadra en pantalla, detenerse acá y anotarlo.</t>
        </is>
      </c>
    </row>
    <row r="5">
      <c r="A5" s="16" t="inlineStr">
        <is>
          <t>CP-01</t>
        </is>
      </c>
      <c r="B5" s="17" t="inlineStr">
        <is>
          <t>Nace el pedido y el ERP lo ve en la cola</t>
        </is>
      </c>
      <c r="C5" s="18" t="n">
        <v>4</v>
      </c>
      <c r="D5" s="17" t="inlineStr">
        <is>
          <t>Confirmar el pedido. ⚠ Esto descuenta inventario real y dispara correos reales.</t>
        </is>
      </c>
      <c r="E5" s="19" t="inlineStr">
        <is>
          <t>POST {{BASE_URL}}/orders (lo hace la tienda sola)</t>
        </is>
      </c>
      <c r="F5" s="19" t="inlineStr">
        <is>
          <t>—</t>
        </is>
      </c>
      <c r="G5" s="17" t="inlineStr">
        <is>
          <t>Pantalla de confirmación con el número de pedido. Llega el correo al cliente y el aviso al administrador.</t>
        </is>
      </c>
      <c r="H5" s="18" t="inlineStr"/>
      <c r="I5" s="18" t="inlineStr"/>
      <c r="J5" s="17" t="inlineStr">
        <is>
          <t>ANOTAR el número de pedido (ORD-…) y el id numérico. Se usan en todos los casos siguientes.</t>
        </is>
      </c>
    </row>
    <row r="6">
      <c r="A6" s="16" t="inlineStr">
        <is>
          <t>CP-01</t>
        </is>
      </c>
      <c r="B6" s="17" t="inlineStr">
        <is>
          <t>Nace el pedido y el ERP lo ve en la cola</t>
        </is>
      </c>
      <c r="C6" s="18" t="n">
        <v>5</v>
      </c>
      <c r="D6" s="17" t="inlineStr">
        <is>
          <t>Buscar el pedido en la cola que consume el ERP.</t>
        </is>
      </c>
      <c r="E6" s="19" t="inlineStr">
        <is>
          <t>GET {{BASE_URL}}/api/v1/orders/on-hold?page=1&amp;perPage=10</t>
        </is>
      </c>
      <c r="F6" s="19" t="inlineStr">
        <is>
          <t>Cabecera: Authorization: Bearer {{CK}}:{{CS}}</t>
        </is>
      </c>
      <c r="G6" s="17" t="inlineStr">
        <is>
          <t>200. El pedido aparece de PRIMERO (se ordenan del más nuevo al más viejo), con "status": "on-hold" y "number" igual al id.</t>
        </is>
      </c>
      <c r="H6" s="18" t="inlineStr"/>
      <c r="I6" s="18" t="inlineStr"/>
      <c r="J6" s="17" t="inlineStr"/>
    </row>
    <row r="7">
      <c r="A7" s="16" t="inlineStr">
        <is>
          <t>CP-01</t>
        </is>
      </c>
      <c r="B7" s="17" t="inlineStr">
        <is>
          <t>Nace el pedido y el ERP lo ve en la cola</t>
        </is>
      </c>
      <c r="C7" s="18" t="n">
        <v>6</v>
      </c>
      <c r="D7" s="17" t="inlineStr">
        <is>
          <t>Revisar los datos del cliente dentro del pedido.</t>
        </is>
      </c>
      <c r="E7" s="19" t="inlineStr">
        <is>
          <t>GET {{BASE_URL}}/api/v1/orders/on-hold?page=1&amp;perPage=10</t>
        </is>
      </c>
      <c r="F7" s="19" t="inlineStr">
        <is>
          <t>Cabecera: Authorization: Bearer {{CK}}:{{CS}}</t>
        </is>
      </c>
      <c r="G7" s="17" t="inlineStr">
        <is>
          <t>billing.first_name / last_name / email con lo que se escribió. billing.address_2 y billing.identification = la cédula con su letra (ej. V-12345678). billing.phone con el teléfono, aunque sea retiro en tienda. NINGÚN campo de billing en null: los vacíos van como "".</t>
        </is>
      </c>
      <c r="H7" s="18" t="inlineStr"/>
      <c r="I7" s="18" t="inlineStr"/>
      <c r="J7" s="17" t="inlineStr">
        <is>
          <t>Un null acá revienta al cliente de OrbisNet; por eso se emiten cadenas vacías.</t>
        </is>
      </c>
    </row>
    <row r="8">
      <c r="A8" s="16" t="inlineStr">
        <is>
          <t>CP-01</t>
        </is>
      </c>
      <c r="B8" s="17" t="inlineStr">
        <is>
          <t>Nace el pedido y el ERP lo ve en la cola</t>
        </is>
      </c>
      <c r="C8" s="18" t="n">
        <v>7</v>
      </c>
      <c r="D8" s="17" t="inlineStr">
        <is>
          <t>Revisar la fecha de creación.</t>
        </is>
      </c>
      <c r="E8" s="19" t="inlineStr">
        <is>
          <t>GET {{BASE_URL}}/api/v1/orders/{{ORDER_ID}}</t>
        </is>
      </c>
      <c r="F8" s="19" t="inlineStr">
        <is>
          <t>Cabecera: Authorization: Bearer {{CK}}:{{CS}}</t>
        </is>
      </c>
      <c r="G8" s="17" t="inlineStr">
        <is>
          <t>date_created en hora local de la tienda (America/Caracas), con formato 2026-08-01T14:35:02. SIN la 'Z' del final y sin desfase horario.</t>
        </is>
      </c>
      <c r="H8" s="18" t="inlineStr"/>
      <c r="I8" s="18" t="inlineStr"/>
      <c r="J8" s="17" t="inlineStr">
        <is>
          <t>Si aparece con Z o con la hora de Londres, el ERP factura con la hora equivocada.</t>
        </is>
      </c>
    </row>
    <row r="9">
      <c r="A9" s="16" t="inlineStr">
        <is>
          <t>CP-01</t>
        </is>
      </c>
      <c r="B9" s="17" t="inlineStr">
        <is>
          <t>Nace el pedido y el ERP lo ve en la cola</t>
        </is>
      </c>
      <c r="C9" s="18" t="n">
        <v>8</v>
      </c>
      <c r="D9" s="17" t="inlineStr">
        <is>
          <t>Revisar cómo llega el método de entrega.</t>
        </is>
      </c>
      <c r="E9" s="19" t="inlineStr">
        <is>
          <t>GET {{BASE_URL}}/api/v1/orders/{{ORDER_ID}}</t>
        </is>
      </c>
      <c r="F9" s="19" t="inlineStr">
        <is>
          <t>Cabecera: Authorization: Bearer {{CK}}:{{CS}}</t>
        </is>
      </c>
      <c r="G9" s="17" t="inlineStr">
        <is>
          <t>payment_method_title = "Entrega y/o recogida en el local" (retiro) o "Envío a domicilio".</t>
        </is>
      </c>
      <c r="H9" s="18" t="inlineStr"/>
      <c r="I9" s="18" t="inlineStr"/>
      <c r="J9" s="17" t="inlineStr">
        <is>
          <t>Este campo lleva el método de ENTREGA, no la forma de pago. Es a propósito: el contrato de WooCommerce no tiene otro campo donde ponerlo.</t>
        </is>
      </c>
    </row>
    <row r="10">
      <c r="A10" s="20" t="inlineStr">
        <is>
          <t>CP-02</t>
        </is>
      </c>
      <c r="B10" s="21" t="inlineStr">
        <is>
          <t>El ERP confirma el pedido (registra su O/C)</t>
        </is>
      </c>
      <c r="C10" s="22" t="n">
        <v>1</v>
      </c>
      <c r="D10" s="21" t="inlineStr">
        <is>
          <t>Confirmar la recepción del pedido registrando la orden de compra del ERP.</t>
        </is>
      </c>
      <c r="E10" s="23" t="inlineStr">
        <is>
          <t>PUT {{BASE_URL}}/api/v1/orders/{{ORDER_ID}}</t>
        </is>
      </c>
      <c r="F10" s="23" t="inlineStr">
        <is>
          <t>{"status":"pending","order_key":"OC-PRUEBA-001"}</t>
        </is>
      </c>
      <c r="G10" s="21" t="inlineStr">
        <is>
          <t>200 con el pedido: status "pending", orderKey = "OC-PRUEBA-001" y purchaseOrderKey = "OC-PRUEBA-001".</t>
        </is>
      </c>
      <c r="H10" s="22" t="inlineStr"/>
      <c r="I10" s="22" t="inlineStr"/>
      <c r="J10" s="21" t="inlineStr">
        <is>
          <t>La respuesta del PUT viene con los nombres internos (orderKey, purchaseOrderKey), NO en formato WooCommerce. Es normal.</t>
        </is>
      </c>
    </row>
    <row r="11">
      <c r="A11" s="20" t="inlineStr">
        <is>
          <t>CP-02</t>
        </is>
      </c>
      <c r="B11" s="21" t="inlineStr">
        <is>
          <t>El ERP confirma el pedido (registra su O/C)</t>
        </is>
      </c>
      <c r="C11" s="22" t="n">
        <v>2</v>
      </c>
      <c r="D11" s="21" t="inlineStr">
        <is>
          <t>Comprobar que el pedido salió de la cola.</t>
        </is>
      </c>
      <c r="E11" s="23" t="inlineStr">
        <is>
          <t>GET {{BASE_URL}}/api/v1/orders/on-hold?page=1&amp;perPage=10</t>
        </is>
      </c>
      <c r="F11" s="23" t="inlineStr">
        <is>
          <t>Cabecera: Authorization: Bearer {{CK}}:{{CS}}</t>
        </is>
      </c>
      <c r="G11" s="21" t="inlineStr">
        <is>
          <t>El pedido YA NO aparece en la lista. La cola sólo trae los que están en on-hold.</t>
        </is>
      </c>
      <c r="H11" s="22" t="inlineStr"/>
      <c r="I11" s="22" t="inlineStr"/>
      <c r="J11" s="21" t="inlineStr"/>
    </row>
    <row r="12">
      <c r="A12" s="20" t="inlineStr">
        <is>
          <t>CP-02</t>
        </is>
      </c>
      <c r="B12" s="21" t="inlineStr">
        <is>
          <t>El ERP confirma el pedido (registra su O/C)</t>
        </is>
      </c>
      <c r="C12" s="22" t="n">
        <v>3</v>
      </c>
      <c r="D12" s="21" t="inlineStr">
        <is>
          <t>Consultar el pedido puntual para ver el estado nuevo.</t>
        </is>
      </c>
      <c r="E12" s="23" t="inlineStr">
        <is>
          <t>GET {{BASE_URL}}/api/v1/orders/{{ORDER_ID}}</t>
        </is>
      </c>
      <c r="F12" s="23" t="inlineStr">
        <is>
          <t>Cabecera: Authorization: Bearer {{CK}}:{{CS}}</t>
        </is>
      </c>
      <c r="G12" s="21" t="inlineStr">
        <is>
          <t>200 con "status": "pending".</t>
        </is>
      </c>
      <c r="H12" s="22" t="inlineStr"/>
      <c r="I12" s="22" t="inlineStr"/>
      <c r="J12" s="21" t="inlineStr"/>
    </row>
    <row r="13">
      <c r="A13" s="20" t="inlineStr">
        <is>
          <t>CP-02</t>
        </is>
      </c>
      <c r="B13" s="21" t="inlineStr">
        <is>
          <t>El ERP confirma el pedido (registra su O/C)</t>
        </is>
      </c>
      <c r="C13" s="22" t="n">
        <v>4</v>
      </c>
      <c r="D13" s="21" t="inlineStr">
        <is>
          <t>Probar el camino alterno con OTRO pedido en on-hold: el endpoint dedicado de confirmación.</t>
        </is>
      </c>
      <c r="E13" s="23" t="inlineStr">
        <is>
          <t>PUT {{BASE_URL}}/api/v1/orders/{{ORDER_ID_2}}/acknowledge</t>
        </is>
      </c>
      <c r="F13" s="23" t="inlineStr">
        <is>
          <t>{"order_key":"OC-PRUEBA-002"}</t>
        </is>
      </c>
      <c r="G13" s="21" t="inlineStr">
        <is>
          <t>200 y el mismo efecto: pasa a pending con su O/C registrada.</t>
        </is>
      </c>
      <c r="H13" s="22" t="inlineStr"/>
      <c r="I13" s="22" t="inlineStr"/>
      <c r="J13" s="21" t="inlineStr">
        <is>
          <t>Los dos caminos llaman a la misma función. En producción conviene usar uno solo: el PUT con status=pending.</t>
        </is>
      </c>
    </row>
    <row r="14">
      <c r="A14" s="20" t="inlineStr">
        <is>
          <t>CP-02</t>
        </is>
      </c>
      <c r="B14" s="21" t="inlineStr">
        <is>
          <t>El ERP confirma el pedido (registra su O/C)</t>
        </is>
      </c>
      <c r="C14" s="22" t="n">
        <v>5</v>
      </c>
      <c r="D14" s="21" t="inlineStr">
        <is>
          <t>Revisar los correos.</t>
        </is>
      </c>
      <c r="E14" s="23" t="inlineStr">
        <is>
          <t>Bandeja del cliente y del administrador</t>
        </is>
      </c>
      <c r="F14" s="23" t="inlineStr">
        <is>
          <t>—</t>
        </is>
      </c>
      <c r="G14" s="21" t="inlineStr">
        <is>
          <t>NO llega ningún correo. Confirmar recibo no notifica a nadie.</t>
        </is>
      </c>
      <c r="H14" s="22" t="inlineStr"/>
      <c r="I14" s="22" t="inlineStr"/>
      <c r="J14" s="21" t="inlineStr"/>
    </row>
    <row r="15">
      <c r="A15" s="16" t="inlineStr">
        <is>
          <t>CP-03</t>
        </is>
      </c>
      <c r="B15" s="17" t="inlineStr">
        <is>
          <t>El ERP factura el pedido</t>
        </is>
      </c>
      <c r="C15" s="18" t="n">
        <v>1</v>
      </c>
      <c r="D15" s="17" t="inlineStr">
        <is>
          <t>Anotar la existencia del producto ANTES de facturar.</t>
        </is>
      </c>
      <c r="E15" s="19" t="inlineStr">
        <is>
          <t>GET {{BASE_URL}}/api/v1/products/sku/{{SKU}}</t>
        </is>
      </c>
      <c r="F15" s="19" t="inlineStr">
        <is>
          <t>Cabecera: Authorization: Bearer {{CK}}:{{CS}}</t>
        </is>
      </c>
      <c r="G15" s="17" t="inlineStr">
        <is>
          <t>200. Anotar el valor de inventory.</t>
        </is>
      </c>
      <c r="H15" s="18" t="inlineStr"/>
      <c r="I15" s="18" t="inlineStr"/>
      <c r="J15" s="17" t="inlineStr"/>
    </row>
    <row r="16">
      <c r="A16" s="16" t="inlineStr">
        <is>
          <t>CP-03</t>
        </is>
      </c>
      <c r="B16" s="17" t="inlineStr">
        <is>
          <t>El ERP factura el pedido</t>
        </is>
      </c>
      <c r="C16" s="18" t="n">
        <v>2</v>
      </c>
      <c r="D16" s="17" t="inlineStr">
        <is>
          <t>Facturar el pedido que quedó en pending. ⚠ Dispara correo real al cliente.</t>
        </is>
      </c>
      <c r="E16" s="19" t="inlineStr">
        <is>
          <t>PUT {{BASE_URL}}/api/v1/orders/{{ORDER_ID}}</t>
        </is>
      </c>
      <c r="F16" s="19" t="inlineStr">
        <is>
          <t>{"status":"completed","order_key":"OC-PRUEBA-001 / FAC-0001","date_completed":"2026-08-01T15:30:00.000Z"}</t>
        </is>
      </c>
      <c r="G16" s="17" t="inlineStr">
        <is>
          <t>200. status "completed"; dateCompleted con la fecha enviada; orderKey pasa a "OC-PRUEBA-001 / FAC-0001"; purchaseOrderKey SIGUE siendo "OC-PRUEBA-001".</t>
        </is>
      </c>
      <c r="H16" s="18" t="inlineStr"/>
      <c r="I16" s="18" t="inlineStr"/>
      <c r="J16" s="17" t="inlineStr">
        <is>
          <t>Facturar pisa order_key con el número de factura a propósito; la O/C original queda guardada aparte en purchaseOrderKey.</t>
        </is>
      </c>
    </row>
    <row r="17">
      <c r="A17" s="16" t="inlineStr">
        <is>
          <t>CP-03</t>
        </is>
      </c>
      <c r="B17" s="17" t="inlineStr">
        <is>
          <t>El ERP factura el pedido</t>
        </is>
      </c>
      <c r="C17" s="18" t="n">
        <v>3</v>
      </c>
      <c r="D17" s="17" t="inlineStr">
        <is>
          <t>Revisar el correo del cliente.</t>
        </is>
      </c>
      <c r="E17" s="19" t="inlineStr">
        <is>
          <t>Bandeja del correo usado en el checkout</t>
        </is>
      </c>
      <c r="F17" s="19" t="inlineStr">
        <is>
          <t>—</t>
        </is>
      </c>
      <c r="G17" s="17" t="inlineStr">
        <is>
          <t>Llega el correo "Confirmamos tu pago del pedido ORD-…".</t>
        </is>
      </c>
      <c r="H17" s="18" t="inlineStr"/>
      <c r="I17" s="18" t="inlineStr"/>
      <c r="J17" s="17" t="inlineStr">
        <is>
          <t>Si el correo falla, la facturación NO se cae: los errores de correo se registran y se ignoran.</t>
        </is>
      </c>
    </row>
    <row r="18">
      <c r="A18" s="16" t="inlineStr">
        <is>
          <t>CP-03</t>
        </is>
      </c>
      <c r="B18" s="17" t="inlineStr">
        <is>
          <t>El ERP factura el pedido</t>
        </is>
      </c>
      <c r="C18" s="18" t="n">
        <v>4</v>
      </c>
      <c r="D18" s="17" t="inlineStr">
        <is>
          <t>Comprobar que facturar NO toca el inventario.</t>
        </is>
      </c>
      <c r="E18" s="19" t="inlineStr">
        <is>
          <t>GET {{BASE_URL}}/api/v1/products/sku/{{SKU}}</t>
        </is>
      </c>
      <c r="F18" s="19" t="inlineStr">
        <is>
          <t>Cabecera: Authorization: Bearer {{CK}}:{{CS}}</t>
        </is>
      </c>
      <c r="G18" s="17" t="inlineStr">
        <is>
          <t>inventory exactamente igual al del paso 1. Facturar no repone ni descuenta stock.</t>
        </is>
      </c>
      <c r="H18" s="18" t="inlineStr"/>
      <c r="I18" s="18" t="inlineStr"/>
      <c r="J18" s="17" t="inlineStr"/>
    </row>
    <row r="19">
      <c r="A19" s="16" t="inlineStr">
        <is>
          <t>CP-03</t>
        </is>
      </c>
      <c r="B19" s="17" t="inlineStr">
        <is>
          <t>El ERP factura el pedido</t>
        </is>
      </c>
      <c r="C19" s="18" t="n">
        <v>5</v>
      </c>
      <c r="D19" s="17" t="inlineStr">
        <is>
          <t>Ver el pedido en el formato del ERP después de facturado.</t>
        </is>
      </c>
      <c r="E19" s="19" t="inlineStr">
        <is>
          <t>GET {{BASE_URL}}/api/v1/orders/{{ORDER_ID}}</t>
        </is>
      </c>
      <c r="F19" s="19" t="inlineStr">
        <is>
          <t>Cabecera: Authorization: Bearer {{CK}}:{{CS}}</t>
        </is>
      </c>
      <c r="G19" s="17" t="inlineStr">
        <is>
          <t>200 con "status": "completed" y los mismos montos de antes (facturar no recalcula nada).</t>
        </is>
      </c>
      <c r="H19" s="18" t="inlineStr"/>
      <c r="I19" s="18" t="inlineStr"/>
      <c r="J19" s="17" t="inlineStr"/>
    </row>
    <row r="20">
      <c r="A20" s="20" t="inlineStr">
        <is>
          <t>CP-04</t>
        </is>
      </c>
      <c r="B20" s="21" t="inlineStr">
        <is>
          <t>El ERP anula un pedido y vuelve el inventario</t>
        </is>
      </c>
      <c r="C20" s="22" t="n">
        <v>1</v>
      </c>
      <c r="D20" s="21" t="inlineStr">
        <is>
          <t>Crear un pedido de prueba nuevo y confirmarlo con el ERP (repetir CP-01 y CP-02 con la O/C "OC-PRUEBA-003"). ⚠ Descuenta inventario.</t>
        </is>
      </c>
      <c r="E20" s="23" t="inlineStr">
        <is>
          <t>Tienda web + PUT {{BASE_URL}}/api/v1/orders/{{ORDER_ID_3}}</t>
        </is>
      </c>
      <c r="F20" s="23" t="inlineStr">
        <is>
          <t>{"status":"pending","order_key":"OC-PRUEBA-003"}</t>
        </is>
      </c>
      <c r="G20" s="21" t="inlineStr">
        <is>
          <t>El pedido nuevo queda en pending. ANOTAR su id.</t>
        </is>
      </c>
      <c r="H20" s="22" t="inlineStr"/>
      <c r="I20" s="22" t="inlineStr"/>
      <c r="J20" s="21" t="inlineStr"/>
    </row>
    <row r="21">
      <c r="A21" s="20" t="inlineStr">
        <is>
          <t>CP-04</t>
        </is>
      </c>
      <c r="B21" s="21" t="inlineStr">
        <is>
          <t>El ERP anula un pedido y vuelve el inventario</t>
        </is>
      </c>
      <c r="C21" s="22" t="n">
        <v>2</v>
      </c>
      <c r="D21" s="21" t="inlineStr">
        <is>
          <t>Anotar la existencia EXACTA del producto antes de anular. Llamarla E1.</t>
        </is>
      </c>
      <c r="E21" s="23" t="inlineStr">
        <is>
          <t>GET {{BASE_URL}}/api/v1/products/sku/{{SKU}}</t>
        </is>
      </c>
      <c r="F21" s="23" t="inlineStr">
        <is>
          <t>Cabecera: Authorization: Bearer {{CK}}:{{CS}}</t>
        </is>
      </c>
      <c r="G21" s="21" t="inlineStr">
        <is>
          <t>200. Escribir el número de inventory en el papel.</t>
        </is>
      </c>
      <c r="H21" s="22" t="inlineStr"/>
      <c r="I21" s="22" t="inlineStr"/>
      <c r="J21" s="21" t="inlineStr"/>
    </row>
    <row r="22">
      <c r="A22" s="20" t="inlineStr">
        <is>
          <t>CP-04</t>
        </is>
      </c>
      <c r="B22" s="21" t="inlineStr">
        <is>
          <t>El ERP anula un pedido y vuelve el inventario</t>
        </is>
      </c>
      <c r="C22" s="22" t="n">
        <v>3</v>
      </c>
      <c r="D22" s="21" t="inlineStr">
        <is>
          <t>Anular el pedido.</t>
        </is>
      </c>
      <c r="E22" s="23" t="inlineStr">
        <is>
          <t>PUT {{BASE_URL}}/api/v1/orders/{{ORDER_ID_3}}</t>
        </is>
      </c>
      <c r="F22" s="23" t="inlineStr">
        <is>
          <t>{"status":"cancelled","date_completed":"2026-08-01T16:00:00.000Z"}</t>
        </is>
      </c>
      <c r="G22" s="21" t="inlineStr">
        <is>
          <t>200. status "cancelled" y dateCompleted con la fecha enviada.</t>
        </is>
      </c>
      <c r="H22" s="22" t="inlineStr"/>
      <c r="I22" s="22" t="inlineStr"/>
      <c r="J22" s="21" t="inlineStr"/>
    </row>
    <row r="23">
      <c r="A23" s="20" t="inlineStr">
        <is>
          <t>CP-04</t>
        </is>
      </c>
      <c r="B23" s="21" t="inlineStr">
        <is>
          <t>El ERP anula un pedido y vuelve el inventario</t>
        </is>
      </c>
      <c r="C23" s="22" t="n">
        <v>4</v>
      </c>
      <c r="D23" s="21" t="inlineStr">
        <is>
          <t>Verificar que el inventario volvió.</t>
        </is>
      </c>
      <c r="E23" s="23" t="inlineStr">
        <is>
          <t>GET {{BASE_URL}}/api/v1/products/sku/{{SKU}}</t>
        </is>
      </c>
      <c r="F23" s="23" t="inlineStr">
        <is>
          <t>Cabecera: Authorization: Bearer {{CK}}:{{CS}}</t>
        </is>
      </c>
      <c r="G23" s="21" t="inlineStr">
        <is>
          <t>inventory = E1 + la cantidad que tenía el pedido. Exacto, ni uno más.</t>
        </is>
      </c>
      <c r="H23" s="22" t="inlineStr"/>
      <c r="I23" s="22" t="inlineStr"/>
      <c r="J23" s="21" t="inlineStr"/>
    </row>
    <row r="24">
      <c r="A24" s="20" t="inlineStr">
        <is>
          <t>CP-04</t>
        </is>
      </c>
      <c r="B24" s="21" t="inlineStr">
        <is>
          <t>El ERP anula un pedido y vuelve el inventario</t>
        </is>
      </c>
      <c r="C24" s="22" t="n">
        <v>5</v>
      </c>
      <c r="D24" s="21" t="inlineStr">
        <is>
          <t>Repetir la MISMA anulación dos veces más seguidas.</t>
        </is>
      </c>
      <c r="E24" s="23" t="inlineStr">
        <is>
          <t>PUT {{BASE_URL}}/api/v1/orders/{{ORDER_ID_3}} (×2)</t>
        </is>
      </c>
      <c r="F24" s="23" t="inlineStr">
        <is>
          <t>{"status":"cancelled","date_completed":"2026-08-01T16:00:00.000Z"}</t>
        </is>
      </c>
      <c r="G24" s="21" t="inlineStr">
        <is>
          <t>200 las dos veces, y el inventario NO sigue subiendo: se queda en E1 + cantidad.</t>
        </is>
      </c>
      <c r="H24" s="22" t="inlineStr"/>
      <c r="I24" s="22" t="inlineStr"/>
      <c r="J24" s="21" t="inlineStr">
        <is>
          <t>Es idempotente a propósito. Si el stock sube en cada llamada, es un fallo grave: detener la prueba.</t>
        </is>
      </c>
    </row>
    <row r="25">
      <c r="A25" s="20" t="inlineStr">
        <is>
          <t>CP-04</t>
        </is>
      </c>
      <c r="B25" s="21" t="inlineStr">
        <is>
          <t>El ERP anula un pedido y vuelve el inventario</t>
        </is>
      </c>
      <c r="C25" s="22" t="n">
        <v>6</v>
      </c>
      <c r="D25" s="21" t="inlineStr">
        <is>
          <t>Probar la grafía con una sola L, que es la que documenta OrbisNet, sobre otro pedido.</t>
        </is>
      </c>
      <c r="E25" s="23" t="inlineStr">
        <is>
          <t>PUT {{BASE_URL}}/api/v1/orders/{{ORDER_ID_4}}</t>
        </is>
      </c>
      <c r="F25" s="23" t="inlineStr">
        <is>
          <t>{"status":"canceled","date_completed":"2026-08-01T16:05:00.000Z"}</t>
        </is>
      </c>
      <c r="G25" s="21" t="inlineStr">
        <is>
          <t>200. Se aceptan las dos escrituras: "canceled" y "cancelled".</t>
        </is>
      </c>
      <c r="H25" s="22" t="inlineStr"/>
      <c r="I25" s="22" t="inlineStr"/>
      <c r="J25" s="21" t="inlineStr"/>
    </row>
    <row r="26">
      <c r="A26" s="20" t="inlineStr">
        <is>
          <t>CP-04</t>
        </is>
      </c>
      <c r="B26" s="21" t="inlineStr">
        <is>
          <t>El ERP anula un pedido y vuelve el inventario</t>
        </is>
      </c>
      <c r="C26" s="22" t="n">
        <v>7</v>
      </c>
      <c r="D26" s="21" t="inlineStr">
        <is>
          <t>Revisar los correos después de anular.</t>
        </is>
      </c>
      <c r="E26" s="23" t="inlineStr">
        <is>
          <t>Bandeja del cliente y del administrador</t>
        </is>
      </c>
      <c r="F26" s="23" t="inlineStr">
        <is>
          <t>—</t>
        </is>
      </c>
      <c r="G26" s="21" t="inlineStr">
        <is>
          <t>NO llega ningún correo, ni al cliente ni al administrador. Las anulaciones las atiende un vendedor por WhatsApp.</t>
        </is>
      </c>
      <c r="H26" s="22" t="inlineStr"/>
      <c r="I26" s="22" t="inlineStr"/>
      <c r="J26" s="21" t="inlineStr">
        <is>
          <t>⚠ El guion anterior (docs/guion-pruebas-produccion.md, paso C5) dice que sí llegan correos. El código no manda ninguno. Ver hallazgo H-07.</t>
        </is>
      </c>
    </row>
    <row r="27">
      <c r="A27" s="16" t="inlineStr">
        <is>
          <t>CP-05</t>
        </is>
      </c>
      <c r="B27" s="17" t="inlineStr">
        <is>
          <t>Consultar un pedido puntual por id y por UUID</t>
        </is>
      </c>
      <c r="C27" s="18" t="n">
        <v>1</v>
      </c>
      <c r="D27" s="17" t="inlineStr">
        <is>
          <t>Consultar el pedido por su id numérico.</t>
        </is>
      </c>
      <c r="E27" s="19" t="inlineStr">
        <is>
          <t>GET {{BASE_URL}}/api/v1/orders/{{ORDER_ID}}</t>
        </is>
      </c>
      <c r="F27" s="19" t="inlineStr">
        <is>
          <t>Cabecera: Authorization: Bearer {{CK}}:{{CS}}</t>
        </is>
      </c>
      <c r="G27" s="17" t="inlineStr">
        <is>
          <t>200 con la forma de WooCommerce: line_items, billing, date_created, total, total_tax. NO devuelve la entidad cruda.</t>
        </is>
      </c>
      <c r="H27" s="18" t="inlineStr"/>
      <c r="I27" s="18" t="inlineStr"/>
      <c r="J27" s="17" t="inlineStr"/>
    </row>
    <row r="28">
      <c r="A28" s="16" t="inlineStr">
        <is>
          <t>CP-05</t>
        </is>
      </c>
      <c r="B28" s="17" t="inlineStr">
        <is>
          <t>Consultar un pedido puntual por id y por UUID</t>
        </is>
      </c>
      <c r="C28" s="18" t="n">
        <v>2</v>
      </c>
      <c r="D28" s="17" t="inlineStr">
        <is>
          <t>Buscar el UUID del pedido en el panel de administración o en la base de datos.</t>
        </is>
      </c>
      <c r="E28" s="19" t="inlineStr">
        <is>
          <t>Panel admin / consulta SQL</t>
        </is>
      </c>
      <c r="F28" s="19" t="inlineStr">
        <is>
          <t>SELECT id, uuid, order_number FROM orders WHERE id = {{ORDER_ID}};</t>
        </is>
      </c>
      <c r="G28" s="17" t="inlineStr">
        <is>
          <t>Se obtiene el uuid del pedido.</t>
        </is>
      </c>
      <c r="H28" s="18" t="inlineStr"/>
      <c r="I28" s="18" t="inlineStr"/>
      <c r="J28" s="17" t="inlineStr">
        <is>
          <t>⚠ El UUID no aparece en ningún campo de la API v1: el ERP no puede descubrirlo por su cuenta. Ver hallazgo H-03.</t>
        </is>
      </c>
    </row>
    <row r="29">
      <c r="A29" s="16" t="inlineStr">
        <is>
          <t>CP-05</t>
        </is>
      </c>
      <c r="B29" s="17" t="inlineStr">
        <is>
          <t>Consultar un pedido puntual por id y por UUID</t>
        </is>
      </c>
      <c r="C29" s="18" t="n">
        <v>3</v>
      </c>
      <c r="D29" s="17" t="inlineStr">
        <is>
          <t>Consultar el mismo pedido por su UUID.</t>
        </is>
      </c>
      <c r="E29" s="19" t="inlineStr">
        <is>
          <t>GET {{BASE_URL}}/api/v1/orders/{{ORDER_UUID}}</t>
        </is>
      </c>
      <c r="F29" s="19" t="inlineStr">
        <is>
          <t>Cabecera: Authorization: Bearer {{CK}}:{{CS}}</t>
        </is>
      </c>
      <c r="G29" s="17" t="inlineStr">
        <is>
          <t>200 con EXACTAMENTE la misma respuesta del paso 1.</t>
        </is>
      </c>
      <c r="H29" s="18" t="inlineStr"/>
      <c r="I29" s="18" t="inlineStr"/>
      <c r="J29" s="17" t="inlineStr"/>
    </row>
    <row r="30">
      <c r="A30" s="16" t="inlineStr">
        <is>
          <t>CP-05</t>
        </is>
      </c>
      <c r="B30" s="17" t="inlineStr">
        <is>
          <t>Consultar un pedido puntual por id y por UUID</t>
        </is>
      </c>
      <c r="C30" s="18" t="n">
        <v>4</v>
      </c>
      <c r="D30" s="17" t="inlineStr">
        <is>
          <t>Consultar un id que no existe.</t>
        </is>
      </c>
      <c r="E30" s="19" t="inlineStr">
        <is>
          <t>GET {{BASE_URL}}/api/v1/orders/999999</t>
        </is>
      </c>
      <c r="F30" s="19" t="inlineStr">
        <is>
          <t>Cabecera: Authorization: Bearer {{CK}}:{{CS}}</t>
        </is>
      </c>
      <c r="G30" s="17" t="inlineStr">
        <is>
          <t>404 con el mensaje "Order 999999 not found".</t>
        </is>
      </c>
      <c r="H30" s="18" t="inlineStr"/>
      <c r="I30" s="18" t="inlineStr"/>
      <c r="J30" s="17" t="inlineStr"/>
    </row>
    <row r="31">
      <c r="A31" s="16" t="inlineStr">
        <is>
          <t>CP-05</t>
        </is>
      </c>
      <c r="B31" s="17" t="inlineStr">
        <is>
          <t>Consultar un pedido puntual por id y por UUID</t>
        </is>
      </c>
      <c r="C31" s="18" t="n">
        <v>5</v>
      </c>
      <c r="D31" s="17" t="inlineStr">
        <is>
          <t>Consultar algo que no es ni id ni UUID.</t>
        </is>
      </c>
      <c r="E31" s="19" t="inlineStr">
        <is>
          <t>GET {{BASE_URL}}/api/v1/orders/abc</t>
        </is>
      </c>
      <c r="F31" s="19" t="inlineStr">
        <is>
          <t>Cabecera: Authorization: Bearer {{CK}}:{{CS}}</t>
        </is>
      </c>
      <c r="G31" s="17" t="inlineStr">
        <is>
          <t>404, NUNCA 500.</t>
        </is>
      </c>
      <c r="H31" s="18" t="inlineStr"/>
      <c r="I31" s="18" t="inlineStr"/>
      <c r="J31" s="17" t="inlineStr">
        <is>
          <t>Es una regresión conocida: antes daba 500 porque Postgres no podía convertir el texto a uuid.</t>
        </is>
      </c>
    </row>
    <row r="32">
      <c r="A32" s="20" t="inlineStr">
        <is>
          <t>CP-06</t>
        </is>
      </c>
      <c r="B32" s="21" t="inlineStr">
        <is>
          <t>Paginación de la cola y cabeceras Link</t>
        </is>
      </c>
      <c r="C32" s="22" t="n">
        <v>1</v>
      </c>
      <c r="D32" s="21" t="inlineStr">
        <is>
          <t>Asegurar que hay al menos 3 pedidos en on-hold. Crear los que falten. ⚠ Cada uno descuenta inventario.</t>
        </is>
      </c>
      <c r="E32" s="23" t="inlineStr">
        <is>
          <t>Tienda web</t>
        </is>
      </c>
      <c r="F32" s="23" t="inlineStr">
        <is>
          <t>—</t>
        </is>
      </c>
      <c r="G32" s="21" t="inlineStr">
        <is>
          <t>La cola tiene 3 o más pedidos.</t>
        </is>
      </c>
      <c r="H32" s="22" t="inlineStr"/>
      <c r="I32" s="22" t="inlineStr"/>
      <c r="J32" s="21" t="inlineStr">
        <is>
          <t>Anotar los números de pedido para anularlos al final.</t>
        </is>
      </c>
    </row>
    <row r="33">
      <c r="A33" s="20" t="inlineStr">
        <is>
          <t>CP-06</t>
        </is>
      </c>
      <c r="B33" s="21" t="inlineStr">
        <is>
          <t>Paginación de la cola y cabeceras Link</t>
        </is>
      </c>
      <c r="C33" s="22" t="n">
        <v>2</v>
      </c>
      <c r="D33" s="21" t="inlineStr">
        <is>
          <t>Pedir la primera página de 2 en 2.</t>
        </is>
      </c>
      <c r="E33" s="23" t="inlineStr">
        <is>
          <t>GET {{BASE_URL}}/api/v1/orders/on-hold?page=1&amp;perPage=2</t>
        </is>
      </c>
      <c r="F33" s="23" t="inlineStr">
        <is>
          <t>Cabecera: Authorization: Bearer {{CK}}:{{CS}}</t>
        </is>
      </c>
      <c r="G33" s="21" t="inlineStr">
        <is>
          <t>200. "data" con 2 pedidos; "total" = cantidad real de on-hold; "page": 1; "perPage": 2; "lastPage" = total dividido entre 2, redondeado hacia arriba.</t>
        </is>
      </c>
      <c r="H33" s="22" t="inlineStr"/>
      <c r="I33" s="22" t="inlineStr"/>
      <c r="J33" s="21" t="inlineStr"/>
    </row>
    <row r="34">
      <c r="A34" s="20" t="inlineStr">
        <is>
          <t>CP-06</t>
        </is>
      </c>
      <c r="B34" s="21" t="inlineStr">
        <is>
          <t>Paginación de la cola y cabeceras Link</t>
        </is>
      </c>
      <c r="C34" s="22" t="n">
        <v>3</v>
      </c>
      <c r="D34" s="21" t="inlineStr">
        <is>
          <t>Ver las cabeceras de la respuesta (con curl -i).</t>
        </is>
      </c>
      <c r="E34" s="23" t="inlineStr">
        <is>
          <t>GET {{BASE_URL}}/api/v1/orders/on-hold?page=1&amp;perPage=2</t>
        </is>
      </c>
      <c r="F34" s="23" t="inlineStr">
        <is>
          <t>Cabecera: Authorization: Bearer {{CK}}:{{CS}}</t>
        </is>
      </c>
      <c r="G34" s="21" t="inlineStr">
        <is>
          <t>Aparece la cabecera Link con rel="next" y rel="last" apuntando a las páginas siguientes.</t>
        </is>
      </c>
      <c r="H34" s="22" t="inlineStr"/>
      <c r="I34" s="22" t="inlineStr"/>
      <c r="J34" s="21" t="inlineStr">
        <is>
          <t>Formato RFC 5988, el mismo que usa WooCommerce.</t>
        </is>
      </c>
    </row>
    <row r="35">
      <c r="A35" s="20" t="inlineStr">
        <is>
          <t>CP-06</t>
        </is>
      </c>
      <c r="B35" s="21" t="inlineStr">
        <is>
          <t>Paginación de la cola y cabeceras Link</t>
        </is>
      </c>
      <c r="C35" s="22" t="n">
        <v>4</v>
      </c>
      <c r="D35" s="21" t="inlineStr">
        <is>
          <t>Pedir la segunda página.</t>
        </is>
      </c>
      <c r="E35" s="23" t="inlineStr">
        <is>
          <t>GET {{BASE_URL}}/api/v1/orders/on-hold?page=2&amp;perPage=2</t>
        </is>
      </c>
      <c r="F35" s="23" t="inlineStr">
        <is>
          <t>Cabecera: Authorization: Bearer {{CK}}:{{CS}}</t>
        </is>
      </c>
      <c r="G35" s="21" t="inlineStr">
        <is>
          <t>200 con pedidos DISTINTOS a los de la página 1, y la cabecera Link ahora con rel="prev" y rel="first".</t>
        </is>
      </c>
      <c r="H35" s="22" t="inlineStr"/>
      <c r="I35" s="22" t="inlineStr"/>
      <c r="J35" s="21" t="inlineStr"/>
    </row>
    <row r="36">
      <c r="A36" s="20" t="inlineStr">
        <is>
          <t>CP-06</t>
        </is>
      </c>
      <c r="B36" s="21" t="inlineStr">
        <is>
          <t>Paginación de la cola y cabeceras Link</t>
        </is>
      </c>
      <c r="C36" s="22" t="n">
        <v>5</v>
      </c>
      <c r="D36" s="21" t="inlineStr">
        <is>
          <t>Pedir una página que no existe.</t>
        </is>
      </c>
      <c r="E36" s="23" t="inlineStr">
        <is>
          <t>GET {{BASE_URL}}/api/v1/orders/on-hold?page=999&amp;perPage=2</t>
        </is>
      </c>
      <c r="F36" s="23" t="inlineStr">
        <is>
          <t>Cabecera: Authorization: Bearer {{CK}}:{{CS}}</t>
        </is>
      </c>
      <c r="G36" s="21" t="inlineStr">
        <is>
          <t>200 con "data": [] (lista vacía). No es un error.</t>
        </is>
      </c>
      <c r="H36" s="22" t="inlineStr"/>
      <c r="I36" s="22" t="inlineStr"/>
      <c r="J36" s="21" t="inlineStr"/>
    </row>
    <row r="37">
      <c r="A37" s="20" t="inlineStr">
        <is>
          <t>CP-06</t>
        </is>
      </c>
      <c r="B37" s="21" t="inlineStr">
        <is>
          <t>Paginación de la cola y cabeceras Link</t>
        </is>
      </c>
      <c r="C37" s="22" t="n">
        <v>6</v>
      </c>
      <c r="D37" s="21" t="inlineStr">
        <is>
          <t>Pedir sin parámetros, como haría el ERP por defecto.</t>
        </is>
      </c>
      <c r="E37" s="23" t="inlineStr">
        <is>
          <t>GET {{BASE_URL}}/api/v1/orders/on-hold</t>
        </is>
      </c>
      <c r="F37" s="23" t="inlineStr">
        <is>
          <t>Cabecera: Authorization: Bearer {{CK}}:{{CS}}</t>
        </is>
      </c>
      <c r="G37" s="21" t="inlineStr">
        <is>
          <t>200 con page 1 y perPage 10 por defecto.</t>
        </is>
      </c>
      <c r="H37" s="22" t="inlineStr"/>
      <c r="I37" s="22" t="inlineStr"/>
      <c r="J37" s="21" t="inlineStr"/>
    </row>
    <row r="38">
      <c r="A38" s="16" t="inlineStr">
        <is>
          <t>CP-07</t>
        </is>
      </c>
      <c r="B38" s="17" t="inlineStr">
        <is>
          <t>El total del pedido cuadra: base + IVA = total</t>
        </is>
      </c>
      <c r="C38" s="18" t="n">
        <v>1</v>
      </c>
      <c r="D38" s="17" t="inlineStr">
        <is>
          <t>Traer el pedido de prueba en formato ERP y anotar total y total_tax.</t>
        </is>
      </c>
      <c r="E38" s="19" t="inlineStr">
        <is>
          <t>GET {{BASE_URL}}/api/v1/orders/{{ORDER_ID}}</t>
        </is>
      </c>
      <c r="F38" s="19" t="inlineStr">
        <is>
          <t>Cabecera: Authorization: Bearer {{CK}}:{{CS}}</t>
        </is>
      </c>
      <c r="G38" s="17" t="inlineStr">
        <is>
          <t>200. Anotar "total" (con IVA) y "total_tax" (el impuesto del pedido).</t>
        </is>
      </c>
      <c r="H38" s="18" t="inlineStr"/>
      <c r="I38" s="18" t="inlineStr"/>
      <c r="J38" s="17" t="inlineStr"/>
    </row>
    <row r="39">
      <c r="A39" s="16" t="inlineStr">
        <is>
          <t>CP-07</t>
        </is>
      </c>
      <c r="B39" s="17" t="inlineStr">
        <is>
          <t>El total del pedido cuadra: base + IVA = total</t>
        </is>
      </c>
      <c r="C39" s="18" t="n">
        <v>2</v>
      </c>
      <c r="D39" s="17" t="inlineStr">
        <is>
          <t>Sumar a mano los line_items[].total de todas las líneas.</t>
        </is>
      </c>
      <c r="E39" s="19" t="inlineStr">
        <is>
          <t>Sobre la misma respuesta</t>
        </is>
      </c>
      <c r="F39" s="19" t="inlineStr">
        <is>
          <t>—</t>
        </is>
      </c>
      <c r="G39" s="17" t="inlineStr">
        <is>
          <t>La suma da la BASE del pedido, sin IVA. Los renglones del ERP van SIN impuesto: es el contrato de WooCommerce.</t>
        </is>
      </c>
      <c r="H39" s="18" t="inlineStr"/>
      <c r="I39" s="18" t="inlineStr"/>
      <c r="J39" s="17" t="inlineStr">
        <is>
          <t>Si un renglón trae el precio con IVA incluido, el ERP facturaría 13,8% de más.</t>
        </is>
      </c>
    </row>
    <row r="40">
      <c r="A40" s="16" t="inlineStr">
        <is>
          <t>CP-07</t>
        </is>
      </c>
      <c r="B40" s="17" t="inlineStr">
        <is>
          <t>El total del pedido cuadra: base + IVA = total</t>
        </is>
      </c>
      <c r="C40" s="18" t="n">
        <v>3</v>
      </c>
      <c r="D40" s="17" t="inlineStr">
        <is>
          <t>Sumar a mano los line_items[].total_tax.</t>
        </is>
      </c>
      <c r="E40" s="19" t="inlineStr">
        <is>
          <t>Sobre la misma respuesta</t>
        </is>
      </c>
      <c r="F40" s="19" t="inlineStr">
        <is>
          <t>—</t>
        </is>
      </c>
      <c r="G40" s="17" t="inlineStr">
        <is>
          <t>La suma es IGUAL, al céntimo, al "total_tax" del pedido.</t>
        </is>
      </c>
      <c r="H40" s="18" t="inlineStr"/>
      <c r="I40" s="18" t="inlineStr"/>
      <c r="J40" s="17" t="inlineStr"/>
    </row>
    <row r="41">
      <c r="A41" s="16" t="inlineStr">
        <is>
          <t>CP-07</t>
        </is>
      </c>
      <c r="B41" s="17" t="inlineStr">
        <is>
          <t>El total del pedido cuadra: base + IVA = total</t>
        </is>
      </c>
      <c r="C41" s="18" t="n">
        <v>4</v>
      </c>
      <c r="D41" s="17" t="inlineStr">
        <is>
          <t>Comprobar la identidad principal.</t>
        </is>
      </c>
      <c r="E41" s="19" t="inlineStr">
        <is>
          <t>Sobre la misma respuesta</t>
        </is>
      </c>
      <c r="F41" s="19" t="inlineStr">
        <is>
          <t>—</t>
        </is>
      </c>
      <c r="G41" s="17" t="inlineStr">
        <is>
          <t>Σ line_items.total + Σ line_items.total_tax = total del pedido. Exacto al céntimo, sin diferencias de redondeo.</t>
        </is>
      </c>
      <c r="H41" s="18" t="inlineStr"/>
      <c r="I41" s="18" t="inlineStr"/>
      <c r="J41" s="17" t="inlineStr">
        <is>
          <t>Sólo se cumple mientras el envío sea 0 (hoy lo es). Ver hallazgo H-13.</t>
        </is>
      </c>
    </row>
    <row r="42">
      <c r="A42" s="16" t="inlineStr">
        <is>
          <t>CP-07</t>
        </is>
      </c>
      <c r="B42" s="17" t="inlineStr">
        <is>
          <t>El total del pedido cuadra: base + IVA = total</t>
        </is>
      </c>
      <c r="C42" s="18" t="n">
        <v>5</v>
      </c>
      <c r="D42" s="17" t="inlineStr">
        <is>
          <t>Contrastar con lo que ve el cliente en el seguimiento público.</t>
        </is>
      </c>
      <c r="E42" s="19" t="inlineStr">
        <is>
          <t>GET {{BASE_URL}}/orders/track/{{ORDER_NUMBER}}</t>
        </is>
      </c>
      <c r="F42" s="19" t="inlineStr">
        <is>
          <t>Sin llave de API: es público.</t>
        </is>
      </c>
      <c r="G42" s="17" t="inlineStr">
        <is>
          <t>subtotal + tax = total. Y subtotal = Σ line_items.total del ERP; tax = Σ line_items.total_tax.</t>
        </is>
      </c>
      <c r="H42" s="18" t="inlineStr"/>
      <c r="I42" s="18" t="inlineStr"/>
      <c r="J42" s="17" t="inlineStr">
        <is>
          <t>El campo subtotal del pedido es la BASE sin IVA.</t>
        </is>
      </c>
    </row>
    <row r="43">
      <c r="A43" s="16" t="inlineStr">
        <is>
          <t>CP-07</t>
        </is>
      </c>
      <c r="B43" s="17" t="inlineStr">
        <is>
          <t>El total del pedido cuadra: base + IVA = total</t>
        </is>
      </c>
      <c r="C43" s="18" t="n">
        <v>6</v>
      </c>
      <c r="D43" s="17" t="inlineStr">
        <is>
          <t>Revisar la alícuota de cada línea.</t>
        </is>
      </c>
      <c r="E43" s="19" t="inlineStr">
        <is>
          <t>GET {{BASE_URL}}/api/v1/orders/{{ORDER_ID}}</t>
        </is>
      </c>
      <c r="F43" s="19" t="inlineStr">
        <is>
          <t>Cabecera: Authorization: Bearer {{CK}}:{{CS}}</t>
        </is>
      </c>
      <c r="G43" s="17" t="inlineStr">
        <is>
          <t>tax_rate es 16, 8, 0 o 24 exactos. Nunca 16,04 ni 15,98.</t>
        </is>
      </c>
      <c r="H43" s="18" t="inlineStr"/>
      <c r="I43" s="18" t="inlineStr"/>
      <c r="J43" s="17" t="inlineStr">
        <is>
          <t>El sistema ajusta el cociente a la alícuota nominal más cercana, con 1 punto de tolerancia.</t>
        </is>
      </c>
    </row>
    <row r="44">
      <c r="A44" s="16" t="inlineStr">
        <is>
          <t>CP-07</t>
        </is>
      </c>
      <c r="B44" s="17" t="inlineStr">
        <is>
          <t>El total del pedido cuadra: base + IVA = total</t>
        </is>
      </c>
      <c r="C44" s="18" t="n">
        <v>7</v>
      </c>
      <c r="D44" s="17" t="inlineStr">
        <is>
          <t>Verificar la regla de redondeo en una línea, a mano con la calculadora.</t>
        </is>
      </c>
      <c r="E44" s="19" t="inlineStr">
        <is>
          <t>Sobre la misma respuesta</t>
        </is>
      </c>
      <c r="F44" s="19" t="inlineStr">
        <is>
          <t>—</t>
        </is>
      </c>
      <c r="G44" s="17" t="inlineStr">
        <is>
          <t>base = redondeo a 2 decimales de (monto de la línea con IVA ÷ 1,16); iva = monto con IVA − base. NUNCA se redondean los tres números por separado.</t>
        </is>
      </c>
      <c r="H44" s="18" t="inlineStr"/>
      <c r="I44" s="18" t="inlineStr"/>
      <c r="J44" s="17" t="inlineStr">
        <is>
          <t>Documentado en docs/pricing-iva.md. Por eso base + iva da el total exacto siempre.</t>
        </is>
      </c>
    </row>
    <row r="45">
      <c r="A45" s="20" t="inlineStr">
        <is>
          <t>CP-08</t>
        </is>
      </c>
      <c r="B45" s="21" t="inlineStr">
        <is>
          <t>La tasa del pedido es la vigente al momento de la compra</t>
        </is>
      </c>
      <c r="C45" s="22" t="n">
        <v>1</v>
      </c>
      <c r="D45" s="21" t="inlineStr">
        <is>
          <t>Antes de comprar, consultar la tasa y anotarla con su fecha.</t>
        </is>
      </c>
      <c r="E45" s="23" t="inlineStr">
        <is>
          <t>GET {{BASE_URL}}/exchange-rates/current</t>
        </is>
      </c>
      <c r="F45" s="23" t="inlineStr">
        <is>
          <t>Sin llave de API.</t>
        </is>
      </c>
      <c r="G45" s="21" t="inlineStr">
        <is>
          <t>200 con rate (ej. 481,22) y date (ej. 2026-04-19).</t>
        </is>
      </c>
      <c r="H45" s="22" t="inlineStr"/>
      <c r="I45" s="22" t="inlineStr"/>
      <c r="J45" s="21" t="inlineStr">
        <is>
          <t>La fecha es la de publicación del BCV; puede ser anterior a hoy.</t>
        </is>
      </c>
    </row>
    <row r="46">
      <c r="A46" s="20" t="inlineStr">
        <is>
          <t>CP-08</t>
        </is>
      </c>
      <c r="B46" s="21" t="inlineStr">
        <is>
          <t>La tasa del pedido es la vigente al momento de la compra</t>
        </is>
      </c>
      <c r="C46" s="22" t="n">
        <v>2</v>
      </c>
      <c r="D46" s="21" t="inlineStr">
        <is>
          <t>Crear un pedido de prueba. ⚠ Inventario y correos reales.</t>
        </is>
      </c>
      <c r="E46" s="23" t="inlineStr">
        <is>
          <t>Tienda web</t>
        </is>
      </c>
      <c r="F46" s="23" t="inlineStr">
        <is>
          <t>—</t>
        </is>
      </c>
      <c r="G46" s="21" t="inlineStr">
        <is>
          <t>Pedido creado. Anotar el número.</t>
        </is>
      </c>
      <c r="H46" s="22" t="inlineStr"/>
      <c r="I46" s="22" t="inlineStr"/>
      <c r="J46" s="21" t="inlineStr"/>
    </row>
    <row r="47">
      <c r="A47" s="20" t="inlineStr">
        <is>
          <t>CP-08</t>
        </is>
      </c>
      <c r="B47" s="21" t="inlineStr">
        <is>
          <t>La tasa del pedido es la vigente al momento de la compra</t>
        </is>
      </c>
      <c r="C47" s="22" t="n">
        <v>3</v>
      </c>
      <c r="D47" s="21" t="inlineStr">
        <is>
          <t>Consultar el pedido y comparar la tasa.</t>
        </is>
      </c>
      <c r="E47" s="23" t="inlineStr">
        <is>
          <t>GET {{BASE_URL}}/orders/track/{{ORDER_NUMBER}}</t>
        </is>
      </c>
      <c r="F47" s="23" t="inlineStr">
        <is>
          <t>Sin llave de API.</t>
        </is>
      </c>
      <c r="G47" s="21" t="inlineStr">
        <is>
          <t>exchangeRate = la tasa anotada en el paso 1. exchangeRateDate = la fecha de PUBLICACIÓN del BCV, no la del pedido.</t>
        </is>
      </c>
      <c r="H47" s="22" t="inlineStr"/>
      <c r="I47" s="22" t="inlineStr"/>
      <c r="J47" s="21" t="inlineStr">
        <is>
          <t>Si exchangeRateDate coincidiera con la fecha del pedido cuando la tasa es vieja, sería un error.</t>
        </is>
      </c>
    </row>
    <row r="48">
      <c r="A48" s="20" t="inlineStr">
        <is>
          <t>CP-08</t>
        </is>
      </c>
      <c r="B48" s="21" t="inlineStr">
        <is>
          <t>La tasa del pedido es la vigente al momento de la compra</t>
        </is>
      </c>
      <c r="C48" s="22" t="n">
        <v>4</v>
      </c>
      <c r="D48" s="21" t="inlineStr">
        <is>
          <t>Revisar el correo de confirmación que le llegó al cliente.</t>
        </is>
      </c>
      <c r="E48" s="23" t="inlineStr">
        <is>
          <t>Bandeja del cliente</t>
        </is>
      </c>
      <c r="F48" s="23" t="inlineStr">
        <is>
          <t>—</t>
        </is>
      </c>
      <c r="G48" s="21" t="inlineStr">
        <is>
          <t>El correo muestra la misma tasa y la misma fecha: "BCV 481,22 · 19 abr".</t>
        </is>
      </c>
      <c r="H48" s="22" t="inlineStr"/>
      <c r="I48" s="22" t="inlineStr"/>
      <c r="J48" s="21" t="inlineStr"/>
    </row>
    <row r="49">
      <c r="A49" s="20" t="inlineStr">
        <is>
          <t>CP-08</t>
        </is>
      </c>
      <c r="B49" s="21" t="inlineStr">
        <is>
          <t>La tasa del pedido es la vigente al momento de la compra</t>
        </is>
      </c>
      <c r="C49" s="22" t="n">
        <v>5</v>
      </c>
      <c r="D49" s="21" t="inlineStr">
        <is>
          <t>Si la tasa se actualiza durante la jornada (o se fuerza una sincronización), volver a consultar el pedido viejo.</t>
        </is>
      </c>
      <c r="E49" s="23" t="inlineStr">
        <is>
          <t>GET {{BASE_URL}}/orders/track/{{ORDER_NUMBER}}</t>
        </is>
      </c>
      <c r="F49" s="23" t="inlineStr">
        <is>
          <t>Sin llave de API.</t>
        </is>
      </c>
      <c r="G49" s="21" t="inlineStr">
        <is>
          <t>El pedido CONSERVA la tasa con la que se compró. Nunca se recalcula.</t>
        </is>
      </c>
      <c r="H49" s="22" t="inlineStr"/>
      <c r="I49" s="22" t="inlineStr"/>
      <c r="J49" s="21" t="inlineStr">
        <is>
          <t>La tasa se congela al crear el pedido; los pedidos viejos no se tocan.</t>
        </is>
      </c>
    </row>
    <row r="50">
      <c r="A50" s="20" t="inlineStr">
        <is>
          <t>CP-08</t>
        </is>
      </c>
      <c r="B50" s="21" t="inlineStr">
        <is>
          <t>La tasa del pedido es la vigente al momento de la compra</t>
        </is>
      </c>
      <c r="C50" s="22" t="n">
        <v>6</v>
      </c>
      <c r="D50" s="21" t="inlineStr">
        <is>
          <t>Comprobar qué ve el ERP de la tasa.</t>
        </is>
      </c>
      <c r="E50" s="23" t="inlineStr">
        <is>
          <t>GET {{BASE_URL}}/api/v1/orders/{{ORDER_ID}}</t>
        </is>
      </c>
      <c r="F50" s="23" t="inlineStr">
        <is>
          <t>Cabecera: Authorization: Bearer {{CK}}:{{CS}}</t>
        </is>
      </c>
      <c r="G50" s="21" t="inlineStr">
        <is>
          <t>El pedido en formato ERP NO trae ni la tasa ni montos en bolívares: sólo dólares.</t>
        </is>
      </c>
      <c r="H50" s="22" t="inlineStr"/>
      <c r="I50" s="22" t="inlineStr"/>
      <c r="J50" s="21" t="inlineStr">
        <is>
          <t>⚠ Si OrbisNet factura en bolívares, la tasa la pone él y puede no ser la del pedido. Ver hallazgo H-02: confirmarlo con el cliente.</t>
        </is>
      </c>
    </row>
    <row r="51">
      <c r="A51" s="16" t="inlineStr">
        <is>
          <t>CP-09</t>
        </is>
      </c>
      <c r="B51" s="17" t="inlineStr">
        <is>
          <t>Los montos en bolívares cuadran con los dólares por la tasa</t>
        </is>
      </c>
      <c r="C51" s="18" t="n">
        <v>1</v>
      </c>
      <c r="D51" s="17" t="inlineStr">
        <is>
          <t>Traer el pedido con sus montos en bolívares.</t>
        </is>
      </c>
      <c r="E51" s="19" t="inlineStr">
        <is>
          <t>GET {{BASE_URL}}/orders/track/{{ORDER_NUMBER}}</t>
        </is>
      </c>
      <c r="F51" s="19" t="inlineStr">
        <is>
          <t>Sin llave de API.</t>
        </is>
      </c>
      <c r="G51" s="17" t="inlineStr">
        <is>
          <t>200. Anotar subtotalVes, taxVes, totalVes y exchangeRate.</t>
        </is>
      </c>
      <c r="H51" s="18" t="inlineStr"/>
      <c r="I51" s="18" t="inlineStr"/>
      <c r="J51" s="17" t="inlineStr"/>
    </row>
    <row r="52">
      <c r="A52" s="16" t="inlineStr">
        <is>
          <t>CP-09</t>
        </is>
      </c>
      <c r="B52" s="17" t="inlineStr">
        <is>
          <t>Los montos en bolívares cuadran con los dólares por la tasa</t>
        </is>
      </c>
      <c r="C52" s="18" t="n">
        <v>2</v>
      </c>
      <c r="D52" s="17" t="inlineStr">
        <is>
          <t>Comprobar la suma en bolívares.</t>
        </is>
      </c>
      <c r="E52" s="19" t="inlineStr">
        <is>
          <t>Con calculadora</t>
        </is>
      </c>
      <c r="F52" s="19" t="inlineStr">
        <is>
          <t>—</t>
        </is>
      </c>
      <c r="G52" s="17" t="inlineStr">
        <is>
          <t>totalVes = subtotalVes + taxVes, exacto al céntimo.</t>
        </is>
      </c>
      <c r="H52" s="18" t="inlineStr"/>
      <c r="I52" s="18" t="inlineStr"/>
      <c r="J52" s="17" t="inlineStr"/>
    </row>
    <row r="53">
      <c r="A53" s="16" t="inlineStr">
        <is>
          <t>CP-09</t>
        </is>
      </c>
      <c r="B53" s="17" t="inlineStr">
        <is>
          <t>Los montos en bolívares cuadran con los dólares por la tasa</t>
        </is>
      </c>
      <c r="C53" s="18" t="n">
        <v>3</v>
      </c>
      <c r="D53" s="17" t="inlineStr">
        <is>
          <t>Comprobar una línea: monto en dólares × tasa.</t>
        </is>
      </c>
      <c r="E53" s="19" t="inlineStr">
        <is>
          <t>Con calculadora</t>
        </is>
      </c>
      <c r="F53" s="19" t="inlineStr">
        <is>
          <t>—</t>
        </is>
      </c>
      <c r="G53" s="17" t="inlineStr">
        <is>
          <t>items[].subtotalVes ≈ items[].subtotal × tasa, con una diferencia máxima de 1 céntimo por línea (redondeo).</t>
        </is>
      </c>
      <c r="H53" s="18" t="inlineStr"/>
      <c r="I53" s="18" t="inlineStr"/>
      <c r="J53" s="17" t="inlineStr"/>
    </row>
    <row r="54">
      <c r="A54" s="16" t="inlineStr">
        <is>
          <t>CP-09</t>
        </is>
      </c>
      <c r="B54" s="17" t="inlineStr">
        <is>
          <t>Los montos en bolívares cuadran con los dólares por la tasa</t>
        </is>
      </c>
      <c r="C54" s="18" t="n">
        <v>4</v>
      </c>
      <c r="D54" s="17" t="inlineStr">
        <is>
          <t>Sumar los bolívares de todas las líneas.</t>
        </is>
      </c>
      <c r="E54" s="19" t="inlineStr">
        <is>
          <t>Con calculadora</t>
        </is>
      </c>
      <c r="F54" s="19" t="inlineStr">
        <is>
          <t>—</t>
        </is>
      </c>
      <c r="G54" s="17" t="inlineStr">
        <is>
          <t>Σ items[].subtotalVes = totalVes, exacto.</t>
        </is>
      </c>
      <c r="H54" s="18" t="inlineStr"/>
      <c r="I54" s="18" t="inlineStr"/>
      <c r="J54" s="17" t="inlineStr">
        <is>
          <t>Los agregados salen de sumar las líneas, para que el desglose que ve el cliente cierre.</t>
        </is>
      </c>
    </row>
    <row r="55">
      <c r="A55" s="16" t="inlineStr">
        <is>
          <t>CP-09</t>
        </is>
      </c>
      <c r="B55" s="17" t="inlineStr">
        <is>
          <t>Los montos en bolívares cuadran con los dólares por la tasa</t>
        </is>
      </c>
      <c r="C55" s="18" t="n">
        <v>5</v>
      </c>
      <c r="D55" s="17" t="inlineStr">
        <is>
          <t>Comparar totalVes contra (total en dólares × tasa).</t>
        </is>
      </c>
      <c r="E55" s="19" t="inlineStr">
        <is>
          <t>Con calculadora</t>
        </is>
      </c>
      <c r="F55" s="19" t="inlineStr">
        <is>
          <t>—</t>
        </is>
      </c>
      <c r="G55" s="17" t="inlineStr">
        <is>
          <t>Pueden diferir unos céntimos, y ESTÁ BIEN. Los bolívares se convierten línea por línea, no sobre el total.</t>
        </is>
      </c>
      <c r="H55" s="18" t="inlineStr"/>
      <c r="I55" s="18" t="inlineStr"/>
      <c r="J55" s="17" t="inlineStr">
        <is>
          <t>Regla documentada en docs/pricing-iva.md. No reportarlo como fallo si la diferencia es de céntimos.</t>
        </is>
      </c>
    </row>
    <row r="56">
      <c r="A56" s="16" t="inlineStr">
        <is>
          <t>CP-09</t>
        </is>
      </c>
      <c r="B56" s="17" t="inlineStr">
        <is>
          <t>Los montos en bolívares cuadran con los dólares por la tasa</t>
        </is>
      </c>
      <c r="C56" s="18" t="n">
        <v>6</v>
      </c>
      <c r="D56" s="17" t="inlineStr">
        <is>
          <t>Pedido muy grande en bolívares.</t>
        </is>
      </c>
      <c r="E56" s="19" t="inlineStr">
        <is>
          <t>No probar en vivo</t>
        </is>
      </c>
      <c r="F56" s="19" t="inlineStr">
        <is>
          <t>—</t>
        </is>
      </c>
      <c r="G56" s="17" t="inlineStr">
        <is>
          <t>Las columnas en bolívares topan en Bs 99.999.999,99. A la tasa de hoy eso son unos USD 207.800.</t>
        </is>
      </c>
      <c r="H56" s="18" t="inlineStr"/>
      <c r="I56" s="18" t="inlineStr"/>
      <c r="J56" s="17" t="inlineStr">
        <is>
          <t>⚠ No hacer esta prueba con un pedido real: Postgres responde con error y deja filas huérfanas. Ver hallazgo H-11.</t>
        </is>
      </c>
    </row>
    <row r="57">
      <c r="A57" s="20" t="inlineStr">
        <is>
          <t>CP-10</t>
        </is>
      </c>
      <c r="B57" s="21" t="inlineStr">
        <is>
          <t>El desglose por ítem suma el total</t>
        </is>
      </c>
      <c r="C57" s="22" t="n">
        <v>1</v>
      </c>
      <c r="D57" s="21" t="inlineStr">
        <is>
          <t>Sumar los renglones del seguimiento.</t>
        </is>
      </c>
      <c r="E57" s="23" t="inlineStr">
        <is>
          <t>GET {{BASE_URL}}/orders/track/{{ORDER_NUMBER}}</t>
        </is>
      </c>
      <c r="F57" s="23" t="inlineStr">
        <is>
          <t>Sin llave de API.</t>
        </is>
      </c>
      <c r="G57" s="21" t="inlineStr">
        <is>
          <t>Σ items[].subtotal = total del pedido. Ojo: el subtotal del ítem YA incluye IVA y ya viene con el descuento aplicado.</t>
        </is>
      </c>
      <c r="H57" s="22" t="inlineStr"/>
      <c r="I57" s="22" t="inlineStr"/>
      <c r="J57" s="21" t="inlineStr"/>
    </row>
    <row r="58">
      <c r="A58" s="20" t="inlineStr">
        <is>
          <t>CP-10</t>
        </is>
      </c>
      <c r="B58" s="21" t="inlineStr">
        <is>
          <t>El desglose por ítem suma el total</t>
        </is>
      </c>
      <c r="C58" s="22" t="n">
        <v>2</v>
      </c>
      <c r="D58" s="21" t="inlineStr">
        <is>
          <t>En el formato del ERP, verificar precio × cantidad de cada línea.</t>
        </is>
      </c>
      <c r="E58" s="23" t="inlineStr">
        <is>
          <t>GET {{BASE_URL}}/api/v1/orders/{{ORDER_ID}}</t>
        </is>
      </c>
      <c r="F58" s="23" t="inlineStr">
        <is>
          <t>Cabecera: Authorization: Bearer {{CK}}:{{CS}}</t>
        </is>
      </c>
      <c r="G58" s="21" t="inlineStr">
        <is>
          <t>price × quantity = total de la línea (la base sin IVA).</t>
        </is>
      </c>
      <c r="H58" s="22" t="inlineStr"/>
      <c r="I58" s="22" t="inlineStr"/>
      <c r="J58" s="21" t="inlineStr">
        <is>
          <t>price va sin redondear a propósito (puede verse 0.9099999999999999). No redondearlo antes de multiplicar o deja de cuadrar.</t>
        </is>
      </c>
    </row>
    <row r="59">
      <c r="A59" s="20" t="inlineStr">
        <is>
          <t>CP-10</t>
        </is>
      </c>
      <c r="B59" s="21" t="inlineStr">
        <is>
          <t>El desglose por ítem suma el total</t>
        </is>
      </c>
      <c r="C59" s="22" t="n">
        <v>3</v>
      </c>
      <c r="D59" s="21" t="inlineStr">
        <is>
          <t>Comparar sku y name de cada línea contra el producto real.</t>
        </is>
      </c>
      <c r="E59" s="23" t="inlineStr">
        <is>
          <t>GET {{BASE_URL}}/api/v1/products/sku/{{SKU}}</t>
        </is>
      </c>
      <c r="F59" s="23" t="inlineStr">
        <is>
          <t>Cabecera: Authorization: Bearer {{CK}}:{{CS}}</t>
        </is>
      </c>
      <c r="G59" s="21" t="inlineStr">
        <is>
          <t>Coinciden. El sku es el que OrbisNet usa para identificar el artículo.</t>
        </is>
      </c>
      <c r="H59" s="22" t="inlineStr"/>
      <c r="I59" s="22" t="inlineStr"/>
      <c r="J59" s="21" t="inlineStr">
        <is>
          <t>El nombre queda congelado al comprar: si el producto se renombra después, el pedido conserva el nombre viejo. Es correcto.</t>
        </is>
      </c>
    </row>
    <row r="60">
      <c r="A60" s="20" t="inlineStr">
        <is>
          <t>CP-10</t>
        </is>
      </c>
      <c r="B60" s="21" t="inlineStr">
        <is>
          <t>El desglose por ítem suma el total</t>
        </is>
      </c>
      <c r="C60" s="22" t="n">
        <v>4</v>
      </c>
      <c r="D60" s="21" t="inlineStr">
        <is>
          <t>Verificar las cantidades.</t>
        </is>
      </c>
      <c r="E60" s="23" t="inlineStr">
        <is>
          <t>Sobre la misma respuesta</t>
        </is>
      </c>
      <c r="F60" s="23" t="inlineStr">
        <is>
          <t>—</t>
        </is>
      </c>
      <c r="G60" s="21" t="inlineStr">
        <is>
          <t>quantity coincide con lo que se compró en cada renglón.</t>
        </is>
      </c>
      <c r="H60" s="22" t="inlineStr"/>
      <c r="I60" s="22" t="inlineStr"/>
      <c r="J60" s="21" t="inlineStr"/>
    </row>
    <row r="61">
      <c r="A61" s="20" t="inlineStr">
        <is>
          <t>CP-10</t>
        </is>
      </c>
      <c r="B61" s="21" t="inlineStr">
        <is>
          <t>El desglose por ítem suma el total</t>
        </is>
      </c>
      <c r="C61" s="22" t="n">
        <v>5</v>
      </c>
      <c r="D61" s="21" t="inlineStr">
        <is>
          <t>Comprar el MISMO producto en dos renglones distintos y revisar el pedido. ⚠ Pedido real.</t>
        </is>
      </c>
      <c r="E61" s="23" t="inlineStr">
        <is>
          <t>GET {{BASE_URL}}/api/v1/orders/{{ORDER_ID_5}}</t>
        </is>
      </c>
      <c r="F61" s="23" t="inlineStr">
        <is>
          <t>Cabecera: Authorization: Bearer {{CK}}:{{CS}}</t>
        </is>
      </c>
      <c r="G61" s="21" t="inlineStr">
        <is>
          <t>Aparecen DOS renglones, cada uno con su cantidad y su monto. No se colapsan en uno solo ni se repite el monto.</t>
        </is>
      </c>
      <c r="H61" s="22" t="inlineStr"/>
      <c r="I61" s="22" t="inlineStr"/>
      <c r="J61" s="21" t="inlineStr">
        <is>
          <t>Regresión conocida: antes un mismo producto en dos renglones mostraba el monto de todas las unidades en cada uno.</t>
        </is>
      </c>
    </row>
    <row r="62">
      <c r="A62" s="20" t="inlineStr">
        <is>
          <t>CP-10</t>
        </is>
      </c>
      <c r="B62" s="21" t="inlineStr">
        <is>
          <t>El desglose por ítem suma el total</t>
        </is>
      </c>
      <c r="C62" s="22" t="n">
        <v>6</v>
      </c>
      <c r="D62" s="21" t="inlineStr">
        <is>
          <t>Incluir un producto EXENTO (IVA 0%) en un pedido y revisarlo.</t>
        </is>
      </c>
      <c r="E62" s="23" t="inlineStr">
        <is>
          <t>GET {{BASE_URL}}/api/v1/orders/{{ORDER_ID_6}}</t>
        </is>
      </c>
      <c r="F62" s="23" t="inlineStr">
        <is>
          <t>Cabecera: Authorization: Bearer {{CK}}:{{CS}}</t>
        </is>
      </c>
      <c r="G62" s="21" t="inlineStr">
        <is>
          <t>Esa línea sale con tax_rate 0 y total_tax "0.00". El IVA se calcula línea por línea, con la alícuota propia de cada producto.</t>
        </is>
      </c>
      <c r="H62" s="22" t="inlineStr"/>
      <c r="I62" s="22" t="inlineStr"/>
      <c r="J62" s="21" t="inlineStr">
        <is>
          <t>Si al exento le aparece IVA, es un fallo grave de facturación.</t>
        </is>
      </c>
    </row>
    <row r="63">
      <c r="A63" s="16" t="inlineStr">
        <is>
          <t>CP-11</t>
        </is>
      </c>
      <c r="B63" s="17" t="inlineStr">
        <is>
          <t>Pedido con cupón de descuento</t>
        </is>
      </c>
      <c r="C63" s="18" t="n">
        <v>1</v>
      </c>
      <c r="D63" s="17" t="inlineStr">
        <is>
          <t>Crear o activar un cupón de prueba en el panel de administración (ej. 10%).</t>
        </is>
      </c>
      <c r="E63" s="19" t="inlineStr">
        <is>
          <t>Panel admin</t>
        </is>
      </c>
      <c r="F63" s="19" t="inlineStr">
        <is>
          <t>Código sugerido: PRUEBA10</t>
        </is>
      </c>
      <c r="G63" s="17" t="inlineStr">
        <is>
          <t>El cupón queda activo y con usos disponibles.</t>
        </is>
      </c>
      <c r="H63" s="18" t="inlineStr"/>
      <c r="I63" s="18" t="inlineStr"/>
      <c r="J63" s="17" t="inlineStr"/>
    </row>
    <row r="64">
      <c r="A64" s="16" t="inlineStr">
        <is>
          <t>CP-11</t>
        </is>
      </c>
      <c r="B64" s="17" t="inlineStr">
        <is>
          <t>Pedido con cupón de descuento</t>
        </is>
      </c>
      <c r="C64" s="18" t="n">
        <v>2</v>
      </c>
      <c r="D64" s="17" t="inlineStr">
        <is>
          <t>Previsualizar el desglose con el cupón, sin comprar todavía.</t>
        </is>
      </c>
      <c r="E64" s="19" t="inlineStr">
        <is>
          <t>POST {{BASE_URL}}/orders/quote</t>
        </is>
      </c>
      <c r="F64" s="19" t="inlineStr">
        <is>
          <t>{"items":[{"productUuid":"{{PRODUCT_UUID}}","quantity":2}],"discountCode":"PRUEBA10"}</t>
        </is>
      </c>
      <c r="G64" s="17" t="inlineStr">
        <is>
          <t>200 con el desglose: descuento, base, IVA y total ya rebajado.</t>
        </is>
      </c>
      <c r="H64" s="18" t="inlineStr"/>
      <c r="I64" s="18" t="inlineStr"/>
      <c r="J64" s="17" t="inlineStr">
        <is>
          <t>Este es el único previsualizador autoritativo. No usar POST /discounts/validate para el monto a cobrar.</t>
        </is>
      </c>
    </row>
    <row r="65">
      <c r="A65" s="16" t="inlineStr">
        <is>
          <t>CP-11</t>
        </is>
      </c>
      <c r="B65" s="17" t="inlineStr">
        <is>
          <t>Pedido con cupón de descuento</t>
        </is>
      </c>
      <c r="C65" s="18" t="n">
        <v>3</v>
      </c>
      <c r="D65" s="17" t="inlineStr">
        <is>
          <t>Comprar aplicando el cupón. ⚠ Pedido real.</t>
        </is>
      </c>
      <c r="E65" s="19" t="inlineStr">
        <is>
          <t>Tienda web</t>
        </is>
      </c>
      <c r="F65" s="19" t="inlineStr">
        <is>
          <t>—</t>
        </is>
      </c>
      <c r="G65" s="17" t="inlineStr">
        <is>
          <t>El pedido se crea con el descuento aplicado. Anotar el número y el id.</t>
        </is>
      </c>
      <c r="H65" s="18" t="inlineStr"/>
      <c r="I65" s="18" t="inlineStr"/>
      <c r="J65" s="17" t="inlineStr"/>
    </row>
    <row r="66">
      <c r="A66" s="16" t="inlineStr">
        <is>
          <t>CP-11</t>
        </is>
      </c>
      <c r="B66" s="17" t="inlineStr">
        <is>
          <t>Pedido con cupón de descuento</t>
        </is>
      </c>
      <c r="C66" s="18" t="n">
        <v>4</v>
      </c>
      <c r="D66" s="17" t="inlineStr">
        <is>
          <t>Revisar el descuento en el seguimiento.</t>
        </is>
      </c>
      <c r="E66" s="19" t="inlineStr">
        <is>
          <t>GET {{BASE_URL}}/orders/track/{{ORDER_NUMBER}}</t>
        </is>
      </c>
      <c r="F66" s="19" t="inlineStr">
        <is>
          <t>Sin llave de API.</t>
        </is>
      </c>
      <c r="G66" s="17" t="inlineStr">
        <is>
          <t>discountAmount = el descuento otorgado. subtotal + tax = total, ya neto del descuento.</t>
        </is>
      </c>
      <c r="H66" s="18" t="inlineStr"/>
      <c r="I66" s="18" t="inlineStr"/>
      <c r="J66" s="17" t="inlineStr"/>
    </row>
    <row r="67">
      <c r="A67" s="16" t="inlineStr">
        <is>
          <t>CP-11</t>
        </is>
      </c>
      <c r="B67" s="17" t="inlineStr">
        <is>
          <t>Pedido con cupón de descuento</t>
        </is>
      </c>
      <c r="C67" s="18" t="n">
        <v>5</v>
      </c>
      <c r="D67" s="17" t="inlineStr">
        <is>
          <t>Revisar cómo le llega el pedido al ERP.</t>
        </is>
      </c>
      <c r="E67" s="19" t="inlineStr">
        <is>
          <t>GET {{BASE_URL}}/api/v1/orders/{{ORDER_ID_7}}</t>
        </is>
      </c>
      <c r="F67" s="19" t="inlineStr">
        <is>
          <t>Cabecera: Authorization: Bearer {{CK}}:{{CS}}</t>
        </is>
      </c>
      <c r="G67" s="17" t="inlineStr">
        <is>
          <t>Las líneas vienen YA rebajadas: el descuento se reparte entre ellas, proporcional al monto de cada una. Σ total + Σ total_tax sigue dando el total del pedido.</t>
        </is>
      </c>
      <c r="H67" s="18" t="inlineStr"/>
      <c r="I67" s="18" t="inlineStr"/>
      <c r="J67" s="17" t="inlineStr"/>
    </row>
    <row r="68">
      <c r="A68" s="16" t="inlineStr">
        <is>
          <t>CP-11</t>
        </is>
      </c>
      <c r="B68" s="17" t="inlineStr">
        <is>
          <t>Pedido con cupón de descuento</t>
        </is>
      </c>
      <c r="C68" s="18" t="n">
        <v>6</v>
      </c>
      <c r="D68" s="17" t="inlineStr">
        <is>
          <t>Revisar que ninguna línea quedó en negativo.</t>
        </is>
      </c>
      <c r="E68" s="19" t="inlineStr">
        <is>
          <t>Sobre la misma respuesta</t>
        </is>
      </c>
      <c r="F68" s="19" t="inlineStr">
        <is>
          <t>—</t>
        </is>
      </c>
      <c r="G68" s="17" t="inlineStr">
        <is>
          <t>Ningún total ni total_tax negativo, ni siquiera con un cupón que cubra casi todo el pedido.</t>
        </is>
      </c>
      <c r="H68" s="18" t="inlineStr"/>
      <c r="I68" s="18" t="inlineStr"/>
      <c r="J68" s="17" t="inlineStr">
        <is>
          <t>Fue un fallo real: el residuo del reparto dejaba renglones negativos aunque el total del pedido cuadrara.</t>
        </is>
      </c>
    </row>
    <row r="69">
      <c r="A69" s="16" t="inlineStr">
        <is>
          <t>CP-11</t>
        </is>
      </c>
      <c r="B69" s="17" t="inlineStr">
        <is>
          <t>Pedido con cupón de descuento</t>
        </is>
      </c>
      <c r="C69" s="18" t="n">
        <v>7</v>
      </c>
      <c r="D69" s="17" t="inlineStr">
        <is>
          <t>Confirmar con el cliente qué ve OrbisNet del cupón.</t>
        </is>
      </c>
      <c r="E69" s="19" t="inlineStr">
        <is>
          <t>GET {{BASE_URL}}/api/v1/orders/{{ORDER_ID_7}}</t>
        </is>
      </c>
      <c r="F69" s="19" t="inlineStr">
        <is>
          <t>Cabecera: Authorization: Bearer {{CK}}:{{CS}}</t>
        </is>
      </c>
      <c r="G69" s="17" t="inlineStr">
        <is>
          <t>El pedido en formato ERP NO tiene ningún campo de descuento: OrbisNet no puede saber que hubo cupón, sólo ve montos ya rebajados.</t>
        </is>
      </c>
      <c r="H69" s="18" t="inlineStr"/>
      <c r="I69" s="18" t="inlineStr"/>
      <c r="J69" s="17" t="inlineStr">
        <is>
          <t>⚠ Hallazgo H-01. Preguntar en la reunión si eso les sirve para su facturación.</t>
        </is>
      </c>
    </row>
    <row r="70">
      <c r="A70" s="16" t="inlineStr">
        <is>
          <t>CP-11</t>
        </is>
      </c>
      <c r="B70" s="17" t="inlineStr">
        <is>
          <t>Pedido con cupón de descuento</t>
        </is>
      </c>
      <c r="C70" s="18" t="n">
        <v>8</v>
      </c>
      <c r="D70" s="17" t="inlineStr">
        <is>
          <t>Probar un cupón que supere el monto del pedido.</t>
        </is>
      </c>
      <c r="E70" s="19" t="inlineStr">
        <is>
          <t>POST {{BASE_URL}}/orders/quote</t>
        </is>
      </c>
      <c r="F70" s="19" t="inlineStr">
        <is>
          <t>{"items":[{"productUuid":"{{PRODUCT_UUID}}","quantity":1}],"discountCode":"{{CUPON_GRANDE}}"}</t>
        </is>
      </c>
      <c r="G70" s="17" t="inlineStr">
        <is>
          <t>El descuento se topea al monto del pedido: el total queda en 0 o más, nunca negativo, y no genera saldo a favor.</t>
        </is>
      </c>
      <c r="H70" s="18" t="inlineStr"/>
      <c r="I70" s="18" t="inlineStr"/>
      <c r="J70" s="17" t="inlineStr"/>
    </row>
    <row r="71">
      <c r="A71" s="16" t="inlineStr">
        <is>
          <t>CP-11</t>
        </is>
      </c>
      <c r="B71" s="17" t="inlineStr">
        <is>
          <t>Pedido con cupón de descuento</t>
        </is>
      </c>
      <c r="C71" s="18" t="n">
        <v>9</v>
      </c>
      <c r="D71" s="17" t="inlineStr">
        <is>
          <t>Probar un cupón vencido o inexistente.</t>
        </is>
      </c>
      <c r="E71" s="19" t="inlineStr">
        <is>
          <t>POST {{BASE_URL}}/orders/quote</t>
        </is>
      </c>
      <c r="F71" s="19" t="inlineStr">
        <is>
          <t>{"items":[{"productUuid":"{{PRODUCT_UUID}}","quantity":1}],"discountCode":"NOEXISTE"}</t>
        </is>
      </c>
      <c r="G71" s="17" t="inlineStr">
        <is>
          <t>400 con el motivo del rechazo.</t>
        </is>
      </c>
      <c r="H71" s="18" t="inlineStr"/>
      <c r="I71" s="18" t="inlineStr"/>
      <c r="J71" s="17" t="inlineStr"/>
    </row>
    <row r="72">
      <c r="A72" s="20" t="inlineStr">
        <is>
          <t>CP-12</t>
        </is>
      </c>
      <c r="B72" s="21" t="inlineStr">
        <is>
          <t>Envío a domicilio contra retiro en tienda</t>
        </is>
      </c>
      <c r="C72" s="22" t="n">
        <v>1</v>
      </c>
      <c r="D72" s="21" t="inlineStr">
        <is>
          <t>Hacer un pedido eligiendo RETIRO EN TIENDA y revisarlo en el ERP. ⚠ Pedido real.</t>
        </is>
      </c>
      <c r="E72" s="23" t="inlineStr">
        <is>
          <t>GET {{BASE_URL}}/api/v1/orders/{{ORDER_ID_8}}</t>
        </is>
      </c>
      <c r="F72" s="23" t="inlineStr">
        <is>
          <t>Cabecera: Authorization: Bearer {{CK}}:{{CS}}</t>
        </is>
      </c>
      <c r="G72" s="21" t="inlineStr">
        <is>
          <t>payment_method_title = "Entrega y/o recogida en el local". billing.phone con el teléfono del cliente. billing.address_1 y city pueden ir vacíos ("").</t>
        </is>
      </c>
      <c r="H72" s="22" t="inlineStr"/>
      <c r="I72" s="22" t="inlineStr"/>
      <c r="J72" s="21" t="inlineStr">
        <is>
          <t>El teléfono se toma del cliente, no de la dirección: antes los pedidos de retiro llegaban sin teléfono.</t>
        </is>
      </c>
    </row>
    <row r="73">
      <c r="A73" s="20" t="inlineStr">
        <is>
          <t>CP-12</t>
        </is>
      </c>
      <c r="B73" s="21" t="inlineStr">
        <is>
          <t>Envío a domicilio contra retiro en tienda</t>
        </is>
      </c>
      <c r="C73" s="22" t="n">
        <v>2</v>
      </c>
      <c r="D73" s="21" t="inlineStr">
        <is>
          <t>Hacer un pedido eligiendo ENVÍO A DOMICILIO y revisarlo. ⚠ Pedido real.</t>
        </is>
      </c>
      <c r="E73" s="23" t="inlineStr">
        <is>
          <t>GET {{BASE_URL}}/api/v1/orders/{{ORDER_ID_9}}</t>
        </is>
      </c>
      <c r="F73" s="23" t="inlineStr">
        <is>
          <t>Cabecera: Authorization: Bearer {{CK}}:{{CS}}</t>
        </is>
      </c>
      <c r="G73" s="21" t="inlineStr">
        <is>
          <t>payment_method_title = "Envío a domicilio". billing.address_1 y billing.city con la dirección que se escribió.</t>
        </is>
      </c>
      <c r="H73" s="22" t="inlineStr"/>
      <c r="I73" s="22" t="inlineStr"/>
      <c r="J73" s="21" t="inlineStr"/>
    </row>
    <row r="74">
      <c r="A74" s="20" t="inlineStr">
        <is>
          <t>CP-12</t>
        </is>
      </c>
      <c r="B74" s="21" t="inlineStr">
        <is>
          <t>Envío a domicilio contra retiro en tienda</t>
        </is>
      </c>
      <c r="C74" s="22" t="n">
        <v>3</v>
      </c>
      <c r="D74" s="21" t="inlineStr">
        <is>
          <t>Revisar el costo de envío en los dos pedidos.</t>
        </is>
      </c>
      <c r="E74" s="23" t="inlineStr">
        <is>
          <t>GET {{BASE_URL}}/orders/track/{{ORDER_NUMBER}}</t>
        </is>
      </c>
      <c r="F74" s="23" t="inlineStr">
        <is>
          <t>Sin llave de API.</t>
        </is>
      </c>
      <c r="G74" s="21" t="inlineStr">
        <is>
          <t>shipping = "0.00" en los dos casos: hoy el envío no se cobra.</t>
        </is>
      </c>
      <c r="H74" s="22" t="inlineStr"/>
      <c r="I74" s="22" t="inlineStr"/>
      <c r="J74" s="21" t="inlineStr">
        <is>
          <t>Está pendiente de implementar; queda en 0 a propósito.</t>
        </is>
      </c>
    </row>
    <row r="75">
      <c r="A75" s="20" t="inlineStr">
        <is>
          <t>CP-12</t>
        </is>
      </c>
      <c r="B75" s="21" t="inlineStr">
        <is>
          <t>Envío a domicilio contra retiro en tienda</t>
        </is>
      </c>
      <c r="C75" s="22" t="n">
        <v>4</v>
      </c>
      <c r="D75" s="21" t="inlineStr">
        <is>
          <t>Confirmar con el cliente qué pasa cuando se active el cobro de envío.</t>
        </is>
      </c>
      <c r="E75" s="23" t="inlineStr">
        <is>
          <t>Conversación</t>
        </is>
      </c>
      <c r="F75" s="23" t="inlineStr">
        <is>
          <t>—</t>
        </is>
      </c>
      <c r="G75" s="21" t="inlineStr">
        <is>
          <t>El pedido en formato ERP no tiene campo ni línea de envío. Cuando se cobre envío, Σ líneas + Σ IVA dejará de dar el total.</t>
        </is>
      </c>
      <c r="H75" s="22" t="inlineStr"/>
      <c r="I75" s="22" t="inlineStr"/>
      <c r="J75" s="21" t="inlineStr">
        <is>
          <t>⚠ Hallazgo H-13. Habrá que agregar shipping_total al contrato, como hace WooCommerce.</t>
        </is>
      </c>
    </row>
    <row r="76">
      <c r="A76" s="20" t="inlineStr">
        <is>
          <t>CP-12</t>
        </is>
      </c>
      <c r="B76" s="21" t="inlineStr">
        <is>
          <t>Envío a domicilio contra retiro en tienda</t>
        </is>
      </c>
      <c r="C76" s="22" t="n">
        <v>5</v>
      </c>
      <c r="D76" s="21" t="inlineStr">
        <is>
          <t>Verificar la identificación en el pedido de envío a domicilio.</t>
        </is>
      </c>
      <c r="E76" s="23" t="inlineStr">
        <is>
          <t>GET {{BASE_URL}}/api/v1/orders/{{ORDER_ID_9}}</t>
        </is>
      </c>
      <c r="F76" s="23" t="inlineStr">
        <is>
          <t>Cabecera: Authorization: Bearer {{CK}}:{{CS}}</t>
        </is>
      </c>
      <c r="G76" s="21" t="inlineStr">
        <is>
          <t>billing.address_2 y billing.identification traen la cédula, igual que en el de retiro.</t>
        </is>
      </c>
      <c r="H76" s="22" t="inlineStr"/>
      <c r="I76" s="22" t="inlineStr"/>
      <c r="J76" s="21" t="inlineStr">
        <is>
          <t>Si el cliente marcó 'crear cuenta', la cédula igual debe salir: se busca en la cuenta, en la ficha de invitado y en la dirección.</t>
        </is>
      </c>
    </row>
    <row r="77">
      <c r="A77" s="16" t="inlineStr">
        <is>
          <t>CP-13</t>
        </is>
      </c>
      <c r="B77" s="17" t="inlineStr">
        <is>
          <t>Llamar sin llave de API</t>
        </is>
      </c>
      <c r="C77" s="18" t="n">
        <v>1</v>
      </c>
      <c r="D77" s="17" t="inlineStr">
        <is>
          <t>Consultar la cola sin ninguna cabecera de autenticación.</t>
        </is>
      </c>
      <c r="E77" s="19" t="inlineStr">
        <is>
          <t>GET {{BASE_URL}}/api/v1/orders/on-hold</t>
        </is>
      </c>
      <c r="F77" s="19" t="inlineStr">
        <is>
          <t>Sin cabeceras.</t>
        </is>
      </c>
      <c r="G77" s="17" t="inlineStr">
        <is>
          <t>401 con el mensaje "Missing API credentials".</t>
        </is>
      </c>
      <c r="H77" s="18" t="inlineStr"/>
      <c r="I77" s="18" t="inlineStr"/>
      <c r="J77" s="17" t="inlineStr"/>
    </row>
    <row r="78">
      <c r="A78" s="16" t="inlineStr">
        <is>
          <t>CP-13</t>
        </is>
      </c>
      <c r="B78" s="17" t="inlineStr">
        <is>
          <t>Llamar sin llave de API</t>
        </is>
      </c>
      <c r="C78" s="18" t="n">
        <v>2</v>
      </c>
      <c r="D78" s="17" t="inlineStr">
        <is>
          <t>Intentar modificar un pedido sin autenticación.</t>
        </is>
      </c>
      <c r="E78" s="19" t="inlineStr">
        <is>
          <t>PUT {{BASE_URL}}/api/v1/orders/{{ORDER_ID}}</t>
        </is>
      </c>
      <c r="F78" s="19" t="inlineStr">
        <is>
          <t>{"status":"pending","order_key":"OC-SIN-LLAVE"}</t>
        </is>
      </c>
      <c r="G78" s="17" t="inlineStr">
        <is>
          <t>401. El pedido NO se toca.</t>
        </is>
      </c>
      <c r="H78" s="18" t="inlineStr"/>
      <c r="I78" s="18" t="inlineStr"/>
      <c r="J78" s="17" t="inlineStr"/>
    </row>
    <row r="79">
      <c r="A79" s="16" t="inlineStr">
        <is>
          <t>CP-13</t>
        </is>
      </c>
      <c r="B79" s="17" t="inlineStr">
        <is>
          <t>Llamar sin llave de API</t>
        </is>
      </c>
      <c r="C79" s="18" t="n">
        <v>3</v>
      </c>
      <c r="D79" s="17" t="inlineStr">
        <is>
          <t>Mandar sólo la clave, sin el secreto.</t>
        </is>
      </c>
      <c r="E79" s="19" t="inlineStr">
        <is>
          <t>GET {{BASE_URL}}/api/v1/orders/on-hold</t>
        </is>
      </c>
      <c r="F79" s="19" t="inlineStr">
        <is>
          <t>Cabecera: Authorization: Bearer {{CK}}</t>
        </is>
      </c>
      <c r="G79" s="17" t="inlineStr">
        <is>
          <t>401 "Missing API credentials". El secreto va después de los dos puntos.</t>
        </is>
      </c>
      <c r="H79" s="18" t="inlineStr"/>
      <c r="I79" s="18" t="inlineStr"/>
      <c r="J79" s="17" t="inlineStr"/>
    </row>
    <row r="80">
      <c r="A80" s="16" t="inlineStr">
        <is>
          <t>CP-13</t>
        </is>
      </c>
      <c r="B80" s="17" t="inlineStr">
        <is>
          <t>Llamar sin llave de API</t>
        </is>
      </c>
      <c r="C80" s="18" t="n">
        <v>4</v>
      </c>
      <c r="D80" s="17" t="inlineStr">
        <is>
          <t>Comprobar que el pedido siguió intacto.</t>
        </is>
      </c>
      <c r="E80" s="19" t="inlineStr">
        <is>
          <t>GET {{BASE_URL}}/api/v1/orders/{{ORDER_ID}}</t>
        </is>
      </c>
      <c r="F80" s="19" t="inlineStr">
        <is>
          <t>Cabecera: Authorization: Bearer {{CK}}:{{CS}}</t>
        </is>
      </c>
      <c r="G80" s="17" t="inlineStr">
        <is>
          <t>El estado del pedido es el mismo de antes de estas pruebas.</t>
        </is>
      </c>
      <c r="H80" s="18" t="inlineStr"/>
      <c r="I80" s="18" t="inlineStr"/>
      <c r="J80" s="17" t="inlineStr"/>
    </row>
    <row r="81">
      <c r="A81" s="20" t="inlineStr">
        <is>
          <t>CP-14</t>
        </is>
      </c>
      <c r="B81" s="21" t="inlineStr">
        <is>
          <t>Llamar con llave inválida o desactivada</t>
        </is>
      </c>
      <c r="C81" s="22" t="n">
        <v>1</v>
      </c>
      <c r="D81" s="21" t="inlineStr">
        <is>
          <t>Usar una clave que no existe.</t>
        </is>
      </c>
      <c r="E81" s="23" t="inlineStr">
        <is>
          <t>GET {{BASE_URL}}/api/v1/orders/on-hold</t>
        </is>
      </c>
      <c r="F81" s="23" t="inlineStr">
        <is>
          <t>Cabecera: Authorization: Bearer ck_inventada:cs_inventado</t>
        </is>
      </c>
      <c r="G81" s="21" t="inlineStr">
        <is>
          <t>401 con el mensaje "Invalid API credentials".</t>
        </is>
      </c>
      <c r="H81" s="22" t="inlineStr"/>
      <c r="I81" s="22" t="inlineStr"/>
      <c r="J81" s="21" t="inlineStr"/>
    </row>
    <row r="82">
      <c r="A82" s="20" t="inlineStr">
        <is>
          <t>CP-14</t>
        </is>
      </c>
      <c r="B82" s="21" t="inlineStr">
        <is>
          <t>Llamar con llave inválida o desactivada</t>
        </is>
      </c>
      <c r="C82" s="22" t="n">
        <v>2</v>
      </c>
      <c r="D82" s="21" t="inlineStr">
        <is>
          <t>Usar la clave correcta con el secreto equivocado.</t>
        </is>
      </c>
      <c r="E82" s="23" t="inlineStr">
        <is>
          <t>GET {{BASE_URL}}/api/v1/orders/on-hold</t>
        </is>
      </c>
      <c r="F82" s="23" t="inlineStr">
        <is>
          <t>Cabecera: Authorization: Bearer {{CK}}:secreto-malo</t>
        </is>
      </c>
      <c r="G82" s="21" t="inlineStr">
        <is>
          <t>401 "Invalid API credentials".</t>
        </is>
      </c>
      <c r="H82" s="22" t="inlineStr"/>
      <c r="I82" s="22" t="inlineStr"/>
      <c r="J82" s="21" t="inlineStr"/>
    </row>
    <row r="83">
      <c r="A83" s="20" t="inlineStr">
        <is>
          <t>CP-14</t>
        </is>
      </c>
      <c r="B83" s="21" t="inlineStr">
        <is>
          <t>Llamar con llave inválida o desactivada</t>
        </is>
      </c>
      <c r="C83" s="22" t="n">
        <v>3</v>
      </c>
      <c r="D83" s="21" t="inlineStr">
        <is>
          <t>Desactivar una llave en el panel y volver a usarla.</t>
        </is>
      </c>
      <c r="E83" s="23" t="inlineStr">
        <is>
          <t>GET {{BASE_URL}}/api/v1/orders/on-hold</t>
        </is>
      </c>
      <c r="F83" s="23" t="inlineStr">
        <is>
          <t>Cabecera con la llave desactivada.</t>
        </is>
      </c>
      <c r="G83" s="21" t="inlineStr">
        <is>
          <t>401 "Invalid API credentials". Una llave desactivada se comporta igual que una que no existe.</t>
        </is>
      </c>
      <c r="H83" s="22" t="inlineStr"/>
      <c r="I83" s="22" t="inlineStr"/>
      <c r="J83" s="21" t="inlineStr">
        <is>
          <t>Es la palanca para cortarle el acceso al ERP en caliente. Volver a activarla al terminar.</t>
        </is>
      </c>
    </row>
    <row r="84">
      <c r="A84" s="20" t="inlineStr">
        <is>
          <t>CP-14</t>
        </is>
      </c>
      <c r="B84" s="21" t="inlineStr">
        <is>
          <t>Llamar con llave inválida o desactivada</t>
        </is>
      </c>
      <c r="C84" s="22" t="n">
        <v>4</v>
      </c>
      <c r="D84" s="21" t="inlineStr">
        <is>
          <t>Probar la forma alterna de autenticación por cabeceras separadas.</t>
        </is>
      </c>
      <c r="E84" s="23" t="inlineStr">
        <is>
          <t>GET {{BASE_URL}}/api/v1/orders/on-hold</t>
        </is>
      </c>
      <c r="F84" s="23" t="inlineStr">
        <is>
          <t>Cabeceras: x-consumer-key: {{CK}} y x-consumer-secret: {{CS}}</t>
        </is>
      </c>
      <c r="G84" s="21" t="inlineStr">
        <is>
          <t>200. Es equivalente al Bearer.</t>
        </is>
      </c>
      <c r="H84" s="22" t="inlineStr"/>
      <c r="I84" s="22" t="inlineStr"/>
      <c r="J84" s="21" t="inlineStr">
        <is>
          <t>⚠ También se aceptan como parámetros en la URL (?consumer_key=…&amp;consumer_secret=…), pero eso deja las credenciales escritas en los registros del servidor. NO usar esa forma. Hallazgo H-09.</t>
        </is>
      </c>
    </row>
    <row r="85">
      <c r="A85" s="16" t="inlineStr">
        <is>
          <t>CP-15</t>
        </is>
      </c>
      <c r="B85" s="17" t="inlineStr">
        <is>
          <t>Permisos de la llave: lectura contra escritura</t>
        </is>
      </c>
      <c r="C85" s="18" t="n">
        <v>1</v>
      </c>
      <c r="D85" s="17" t="inlineStr">
        <is>
          <t>Con una llave de SOLO LECTURA, consultar la cola.</t>
        </is>
      </c>
      <c r="E85" s="19" t="inlineStr">
        <is>
          <t>GET {{BASE_URL}}/api/v1/orders/on-hold</t>
        </is>
      </c>
      <c r="F85" s="19" t="inlineStr">
        <is>
          <t>Cabecera con la llave de solo lectura.</t>
        </is>
      </c>
      <c r="G85" s="17" t="inlineStr">
        <is>
          <t>200. Leer sí puede.</t>
        </is>
      </c>
      <c r="H85" s="18" t="inlineStr"/>
      <c r="I85" s="18" t="inlineStr"/>
      <c r="J85" s="17" t="inlineStr"/>
    </row>
    <row r="86">
      <c r="A86" s="16" t="inlineStr">
        <is>
          <t>CP-15</t>
        </is>
      </c>
      <c r="B86" s="17" t="inlineStr">
        <is>
          <t>Permisos de la llave: lectura contra escritura</t>
        </is>
      </c>
      <c r="C86" s="18" t="n">
        <v>2</v>
      </c>
      <c r="D86" s="17" t="inlineStr">
        <is>
          <t>Con la MISMA llave de solo lectura, intentar confirmar un pedido.</t>
        </is>
      </c>
      <c r="E86" s="19" t="inlineStr">
        <is>
          <t>PUT {{BASE_URL}}/api/v1/orders/{{ORDER_ID}}</t>
        </is>
      </c>
      <c r="F86" s="19" t="inlineStr">
        <is>
          <t>{"status":"pending","order_key":"OC-SOLO-LECTURA"}</t>
        </is>
      </c>
      <c r="G86" s="17" t="inlineStr">
        <is>
          <t>403 con el mensaje "Insufficient permissions". El pedido no cambia.</t>
        </is>
      </c>
      <c r="H86" s="18" t="inlineStr"/>
      <c r="I86" s="18" t="inlineStr"/>
      <c r="J86" s="17" t="inlineStr"/>
    </row>
    <row r="87">
      <c r="A87" s="16" t="inlineStr">
        <is>
          <t>CP-15</t>
        </is>
      </c>
      <c r="B87" s="17" t="inlineStr">
        <is>
          <t>Permisos de la llave: lectura contra escritura</t>
        </is>
      </c>
      <c r="C87" s="18" t="n">
        <v>3</v>
      </c>
      <c r="D87" s="17" t="inlineStr">
        <is>
          <t>Con una llave de SOLO ESCRITURA, intentar consultar la cola.</t>
        </is>
      </c>
      <c r="E87" s="19" t="inlineStr">
        <is>
          <t>GET {{BASE_URL}}/api/v1/orders/on-hold</t>
        </is>
      </c>
      <c r="F87" s="19" t="inlineStr">
        <is>
          <t>Cabecera con la llave de solo escritura.</t>
        </is>
      </c>
      <c r="G87" s="17" t="inlineStr">
        <is>
          <t>403 "Insufficient permissions".</t>
        </is>
      </c>
      <c r="H87" s="18" t="inlineStr"/>
      <c r="I87" s="18" t="inlineStr"/>
      <c r="J87" s="17" t="inlineStr">
        <is>
          <t>⚠ No hay jerarquía: "escritura" NO incluye "lectura". La llave del ERP tiene que ser de lectura y escritura. Hallazgo H-06.</t>
        </is>
      </c>
    </row>
    <row r="88">
      <c r="A88" s="16" t="inlineStr">
        <is>
          <t>CP-15</t>
        </is>
      </c>
      <c r="B88" s="17" t="inlineStr">
        <is>
          <t>Permisos de la llave: lectura contra escritura</t>
        </is>
      </c>
      <c r="C88" s="18" t="n">
        <v>4</v>
      </c>
      <c r="D88" s="17" t="inlineStr">
        <is>
          <t>Con la llave de LECTURA Y ESCRITURA (la del ERP), probar las dos cosas.</t>
        </is>
      </c>
      <c r="E88" s="19" t="inlineStr">
        <is>
          <t>GET y PUT sobre {{BASE_URL}}/api/v1/orders/…</t>
        </is>
      </c>
      <c r="F88" s="19" t="inlineStr">
        <is>
          <t>Cabecera: Authorization: Bearer {{CK}}:{{CS}}</t>
        </is>
      </c>
      <c r="G88" s="17" t="inlineStr">
        <is>
          <t>200 en las dos. Confirmar que la llave que va a usar OrbisNet en producción es de este tipo.</t>
        </is>
      </c>
      <c r="H88" s="18" t="inlineStr"/>
      <c r="I88" s="18" t="inlineStr"/>
      <c r="J88" s="17" t="inlineStr">
        <is>
          <t>Anotar en la hoja de Instrucciones qué permiso tiene la llave usada hoy.</t>
        </is>
      </c>
    </row>
    <row r="89">
      <c r="A89" s="20" t="inlineStr">
        <is>
          <t>CP-16</t>
        </is>
      </c>
      <c r="B89" s="21" t="inlineStr">
        <is>
          <t>Confirmar sin la orden de compra (order_key)</t>
        </is>
      </c>
      <c r="C89" s="22" t="n">
        <v>1</v>
      </c>
      <c r="D89" s="21" t="inlineStr">
        <is>
          <t>Intentar confirmar un pedido sin mandar order_key.</t>
        </is>
      </c>
      <c r="E89" s="23" t="inlineStr">
        <is>
          <t>PUT {{BASE_URL}}/api/v1/orders/{{ORDER_ID}}</t>
        </is>
      </c>
      <c r="F89" s="23" t="inlineStr">
        <is>
          <t>{"status":"pending"}</t>
        </is>
      </c>
      <c r="G89" s="21" t="inlineStr">
        <is>
          <t>400 con el mensaje "order_key is required when status is pending".</t>
        </is>
      </c>
      <c r="H89" s="22" t="inlineStr"/>
      <c r="I89" s="22" t="inlineStr"/>
      <c r="J89" s="21" t="inlineStr">
        <is>
          <t>El mensaje es claro y dice exactamente qué falta.</t>
        </is>
      </c>
    </row>
    <row r="90">
      <c r="A90" s="20" t="inlineStr">
        <is>
          <t>CP-16</t>
        </is>
      </c>
      <c r="B90" s="21" t="inlineStr">
        <is>
          <t>Confirmar sin la orden de compra (order_key)</t>
        </is>
      </c>
      <c r="C90" s="22" t="n">
        <v>2</v>
      </c>
      <c r="D90" s="21" t="inlineStr">
        <is>
          <t>Intentar con la orden de compra vacía.</t>
        </is>
      </c>
      <c r="E90" s="23" t="inlineStr">
        <is>
          <t>PUT {{BASE_URL}}/api/v1/orders/{{ORDER_ID}}</t>
        </is>
      </c>
      <c r="F90" s="23" t="inlineStr">
        <is>
          <t>{"status":"pending","order_key":""}</t>
        </is>
      </c>
      <c r="G90" s="21" t="inlineStr">
        <is>
          <t>400. La validación rechaza el texto vacío.</t>
        </is>
      </c>
      <c r="H90" s="22" t="inlineStr"/>
      <c r="I90" s="22" t="inlineStr"/>
      <c r="J90" s="21" t="inlineStr"/>
    </row>
    <row r="91">
      <c r="A91" s="20" t="inlineStr">
        <is>
          <t>CP-16</t>
        </is>
      </c>
      <c r="B91" s="21" t="inlineStr">
        <is>
          <t>Confirmar sin la orden de compra (order_key)</t>
        </is>
      </c>
      <c r="C91" s="22" t="n">
        <v>3</v>
      </c>
      <c r="D91" s="21" t="inlineStr">
        <is>
          <t>Comprobar que el pedido no se movió.</t>
        </is>
      </c>
      <c r="E91" s="23" t="inlineStr">
        <is>
          <t>GET {{BASE_URL}}/api/v1/orders/{{ORDER_ID}}</t>
        </is>
      </c>
      <c r="F91" s="23" t="inlineStr">
        <is>
          <t>Cabecera: Authorization: Bearer {{CK}}:{{CS}}</t>
        </is>
      </c>
      <c r="G91" s="21" t="inlineStr">
        <is>
          <t>Sigue en "on-hold".</t>
        </is>
      </c>
      <c r="H91" s="22" t="inlineStr"/>
      <c r="I91" s="22" t="inlineStr"/>
      <c r="J91" s="21" t="inlineStr"/>
    </row>
    <row r="92">
      <c r="A92" s="16" t="inlineStr">
        <is>
          <t>CP-17</t>
        </is>
      </c>
      <c r="B92" s="17" t="inlineStr">
        <is>
          <t>Facturar sin los datos obligatorios</t>
        </is>
      </c>
      <c r="C92" s="18" t="n">
        <v>1</v>
      </c>
      <c r="D92" s="17" t="inlineStr">
        <is>
          <t>Facturar sin la fecha.</t>
        </is>
      </c>
      <c r="E92" s="19" t="inlineStr">
        <is>
          <t>PUT {{BASE_URL}}/api/v1/orders/{{ORDER_ID}}</t>
        </is>
      </c>
      <c r="F92" s="19" t="inlineStr">
        <is>
          <t>{"status":"completed","order_key":"FAC-0001"}</t>
        </is>
      </c>
      <c r="G92" s="17" t="inlineStr">
        <is>
          <t>400 "date_completed is required when status is completed".</t>
        </is>
      </c>
      <c r="H92" s="18" t="inlineStr"/>
      <c r="I92" s="18" t="inlineStr"/>
      <c r="J92" s="17" t="inlineStr"/>
    </row>
    <row r="93">
      <c r="A93" s="16" t="inlineStr">
        <is>
          <t>CP-17</t>
        </is>
      </c>
      <c r="B93" s="17" t="inlineStr">
        <is>
          <t>Facturar sin los datos obligatorios</t>
        </is>
      </c>
      <c r="C93" s="18" t="n">
        <v>2</v>
      </c>
      <c r="D93" s="17" t="inlineStr">
        <is>
          <t>Facturar sin el número de factura.</t>
        </is>
      </c>
      <c r="E93" s="19" t="inlineStr">
        <is>
          <t>PUT {{BASE_URL}}/api/v1/orders/{{ORDER_ID}}</t>
        </is>
      </c>
      <c r="F93" s="19" t="inlineStr">
        <is>
          <t>{"status":"completed","date_completed":"2026-08-01T16:00:00.000Z"}</t>
        </is>
      </c>
      <c r="G93" s="17" t="inlineStr">
        <is>
          <t>400 "order_key is required when status is completed".</t>
        </is>
      </c>
      <c r="H93" s="18" t="inlineStr"/>
      <c r="I93" s="18" t="inlineStr"/>
      <c r="J93" s="17" t="inlineStr"/>
    </row>
    <row r="94">
      <c r="A94" s="16" t="inlineStr">
        <is>
          <t>CP-17</t>
        </is>
      </c>
      <c r="B94" s="17" t="inlineStr">
        <is>
          <t>Facturar sin los datos obligatorios</t>
        </is>
      </c>
      <c r="C94" s="18" t="n">
        <v>3</v>
      </c>
      <c r="D94" s="17" t="inlineStr">
        <is>
          <t>Comprobar que no pasó nada.</t>
        </is>
      </c>
      <c r="E94" s="19" t="inlineStr">
        <is>
          <t>GET {{BASE_URL}}/api/v1/orders/{{ORDER_ID}}</t>
        </is>
      </c>
      <c r="F94" s="19" t="inlineStr">
        <is>
          <t>Cabecera: Authorization: Bearer {{CK}}:{{CS}}</t>
        </is>
      </c>
      <c r="G94" s="17" t="inlineStr">
        <is>
          <t>El pedido sigue en "pending" y NO llegó el correo de pago confirmado.</t>
        </is>
      </c>
      <c r="H94" s="18" t="inlineStr"/>
      <c r="I94" s="18" t="inlineStr"/>
      <c r="J94" s="17" t="inlineStr"/>
    </row>
    <row r="95">
      <c r="A95" s="20" t="inlineStr">
        <is>
          <t>CP-18</t>
        </is>
      </c>
      <c r="B95" s="21" t="inlineStr">
        <is>
          <t>Anular sin la fecha</t>
        </is>
      </c>
      <c r="C95" s="22" t="n">
        <v>1</v>
      </c>
      <c r="D95" s="21" t="inlineStr">
        <is>
          <t>Anular sin mandar date_completed.</t>
        </is>
      </c>
      <c r="E95" s="23" t="inlineStr">
        <is>
          <t>PUT {{BASE_URL}}/api/v1/orders/{{ORDER_ID}}</t>
        </is>
      </c>
      <c r="F95" s="23" t="inlineStr">
        <is>
          <t>{"status":"cancelled"}</t>
        </is>
      </c>
      <c r="G95" s="21" t="inlineStr">
        <is>
          <t>400 "date_completed is required when status is cancelled".</t>
        </is>
      </c>
      <c r="H95" s="22" t="inlineStr"/>
      <c r="I95" s="22" t="inlineStr"/>
      <c r="J95" s="21" t="inlineStr"/>
    </row>
    <row r="96">
      <c r="A96" s="20" t="inlineStr">
        <is>
          <t>CP-18</t>
        </is>
      </c>
      <c r="B96" s="21" t="inlineStr">
        <is>
          <t>Anular sin la fecha</t>
        </is>
      </c>
      <c r="C96" s="22" t="n">
        <v>2</v>
      </c>
      <c r="D96" s="21" t="inlineStr">
        <is>
          <t>Lo mismo con la grafía de una sola L.</t>
        </is>
      </c>
      <c r="E96" s="23" t="inlineStr">
        <is>
          <t>PUT {{BASE_URL}}/api/v1/orders/{{ORDER_ID}}</t>
        </is>
      </c>
      <c r="F96" s="23" t="inlineStr">
        <is>
          <t>{"status":"canceled"}</t>
        </is>
      </c>
      <c r="G96" s="21" t="inlineStr">
        <is>
          <t>400 con el mismo mensaje.</t>
        </is>
      </c>
      <c r="H96" s="22" t="inlineStr"/>
      <c r="I96" s="22" t="inlineStr"/>
      <c r="J96" s="21" t="inlineStr"/>
    </row>
    <row r="97">
      <c r="A97" s="20" t="inlineStr">
        <is>
          <t>CP-18</t>
        </is>
      </c>
      <c r="B97" s="21" t="inlineStr">
        <is>
          <t>Anular sin la fecha</t>
        </is>
      </c>
      <c r="C97" s="22" t="n">
        <v>3</v>
      </c>
      <c r="D97" s="21" t="inlineStr">
        <is>
          <t>Comprobar el inventario.</t>
        </is>
      </c>
      <c r="E97" s="23" t="inlineStr">
        <is>
          <t>GET {{BASE_URL}}/api/v1/products/sku/{{SKU}}</t>
        </is>
      </c>
      <c r="F97" s="23" t="inlineStr">
        <is>
          <t>Cabecera: Authorization: Bearer {{CK}}:{{CS}}</t>
        </is>
      </c>
      <c r="G97" s="21" t="inlineStr">
        <is>
          <t>El stock NO se movió: la anulación se rechazó antes de tocar nada.</t>
        </is>
      </c>
      <c r="H97" s="22" t="inlineStr"/>
      <c r="I97" s="22" t="inlineStr"/>
      <c r="J97" s="21" t="inlineStr"/>
    </row>
    <row r="98">
      <c r="A98" s="16" t="inlineStr">
        <is>
          <t>CP-19</t>
        </is>
      </c>
      <c r="B98" s="17" t="inlineStr">
        <is>
          <t>Trabajar sobre un pedido que no existe</t>
        </is>
      </c>
      <c r="C98" s="18" t="n">
        <v>1</v>
      </c>
      <c r="D98" s="17" t="inlineStr">
        <is>
          <t>Confirmar un id inexistente.</t>
        </is>
      </c>
      <c r="E98" s="19" t="inlineStr">
        <is>
          <t>PUT {{BASE_URL}}/api/v1/orders/999999</t>
        </is>
      </c>
      <c r="F98" s="19" t="inlineStr">
        <is>
          <t>{"status":"pending","order_key":"OC-FANTASMA"}</t>
        </is>
      </c>
      <c r="G98" s="17" t="inlineStr">
        <is>
          <t>404 "Order with id 999999 not found".</t>
        </is>
      </c>
      <c r="H98" s="18" t="inlineStr"/>
      <c r="I98" s="18" t="inlineStr"/>
      <c r="J98" s="17" t="inlineStr"/>
    </row>
    <row r="99">
      <c r="A99" s="16" t="inlineStr">
        <is>
          <t>CP-19</t>
        </is>
      </c>
      <c r="B99" s="17" t="inlineStr">
        <is>
          <t>Trabajar sobre un pedido que no existe</t>
        </is>
      </c>
      <c r="C99" s="18" t="n">
        <v>2</v>
      </c>
      <c r="D99" s="17" t="inlineStr">
        <is>
          <t>Anular un id inexistente.</t>
        </is>
      </c>
      <c r="E99" s="19" t="inlineStr">
        <is>
          <t>PUT {{BASE_URL}}/api/v1/orders/999999</t>
        </is>
      </c>
      <c r="F99" s="19" t="inlineStr">
        <is>
          <t>{"status":"cancelled","date_completed":"2026-08-01T16:00:00.000Z"}</t>
        </is>
      </c>
      <c r="G99" s="17" t="inlineStr">
        <is>
          <t>404 con el mismo tipo de mensaje.</t>
        </is>
      </c>
      <c r="H99" s="18" t="inlineStr"/>
      <c r="I99" s="18" t="inlineStr"/>
      <c r="J99" s="17" t="inlineStr"/>
    </row>
    <row r="100">
      <c r="A100" s="16" t="inlineStr">
        <is>
          <t>CP-19</t>
        </is>
      </c>
      <c r="B100" s="17" t="inlineStr">
        <is>
          <t>Trabajar sobre un pedido que no existe</t>
        </is>
      </c>
      <c r="C100" s="18" t="n">
        <v>3</v>
      </c>
      <c r="D100" s="17" t="inlineStr">
        <is>
          <t>Probar con el id 0.</t>
        </is>
      </c>
      <c r="E100" s="19" t="inlineStr">
        <is>
          <t>PUT {{BASE_URL}}/api/v1/orders/0</t>
        </is>
      </c>
      <c r="F100" s="19" t="inlineStr">
        <is>
          <t>{"status":"pending","order_key":"OC-CERO"}</t>
        </is>
      </c>
      <c r="G100" s="17" t="inlineStr">
        <is>
          <t>404: es un número válido, pero no existe ningún pedido 0.</t>
        </is>
      </c>
      <c r="H100" s="18" t="inlineStr"/>
      <c r="I100" s="18" t="inlineStr"/>
      <c r="J100" s="17" t="inlineStr"/>
    </row>
    <row r="101">
      <c r="A101" s="20" t="inlineStr">
        <is>
          <t>CP-20</t>
        </is>
      </c>
      <c r="B101" s="21" t="inlineStr">
        <is>
          <t>Id que no es un número</t>
        </is>
      </c>
      <c r="C101" s="22" t="n">
        <v>1</v>
      </c>
      <c r="D101" s="21" t="inlineStr">
        <is>
          <t>Mandar un id con letras.</t>
        </is>
      </c>
      <c r="E101" s="23" t="inlineStr">
        <is>
          <t>PUT {{BASE_URL}}/api/v1/orders/abc</t>
        </is>
      </c>
      <c r="F101" s="23" t="inlineStr">
        <is>
          <t>{"status":"pending","order_key":"OC-X"}</t>
        </is>
      </c>
      <c r="G101" s="21" t="inlineStr">
        <is>
          <t>400 "Validation failed (numeric string is expected)".</t>
        </is>
      </c>
      <c r="H101" s="22" t="inlineStr"/>
      <c r="I101" s="22" t="inlineStr"/>
      <c r="J101" s="21" t="inlineStr"/>
    </row>
    <row r="102">
      <c r="A102" s="20" t="inlineStr">
        <is>
          <t>CP-20</t>
        </is>
      </c>
      <c r="B102" s="21" t="inlineStr">
        <is>
          <t>Id que no es un número</t>
        </is>
      </c>
      <c r="C102" s="22" t="n">
        <v>2</v>
      </c>
      <c r="D102" s="21" t="inlineStr">
        <is>
          <t>Mandar el UUID del pedido en el PUT.</t>
        </is>
      </c>
      <c r="E102" s="23" t="inlineStr">
        <is>
          <t>PUT {{BASE_URL}}/api/v1/orders/{{ORDER_UUID}}</t>
        </is>
      </c>
      <c r="F102" s="23" t="inlineStr">
        <is>
          <t>{"status":"pending","order_key":"OC-X"}</t>
        </is>
      </c>
      <c r="G102" s="21" t="inlineStr">
        <is>
          <t>400, AUNQUE el GET con ese mismo UUID sí funciona.</t>
        </is>
      </c>
      <c r="H102" s="22" t="inlineStr"/>
      <c r="I102" s="22" t="inlineStr"/>
      <c r="J102" s="21" t="inlineStr">
        <is>
          <t>⚠ Asimetría del contrato: el GET acepta id o UUID, el PUT sólo id numérico. Hallazgo H-03.</t>
        </is>
      </c>
    </row>
    <row r="103">
      <c r="A103" s="20" t="inlineStr">
        <is>
          <t>CP-20</t>
        </is>
      </c>
      <c r="B103" s="21" t="inlineStr">
        <is>
          <t>Id que no es un número</t>
        </is>
      </c>
      <c r="C103" s="22" t="n">
        <v>3</v>
      </c>
      <c r="D103" s="21" t="inlineStr">
        <is>
          <t>Mandar un id con decimales.</t>
        </is>
      </c>
      <c r="E103" s="23" t="inlineStr">
        <is>
          <t>PUT {{BASE_URL}}/api/v1/orders/12.5</t>
        </is>
      </c>
      <c r="F103" s="23" t="inlineStr">
        <is>
          <t>{"status":"pending","order_key":"OC-X"}</t>
        </is>
      </c>
      <c r="G103" s="21" t="inlineStr">
        <is>
          <t>400.</t>
        </is>
      </c>
      <c r="H103" s="22" t="inlineStr"/>
      <c r="I103" s="22" t="inlineStr"/>
      <c r="J103" s="21" t="inlineStr"/>
    </row>
    <row r="104">
      <c r="A104" s="16" t="inlineStr">
        <is>
          <t>CP-21</t>
        </is>
      </c>
      <c r="B104" s="17" t="inlineStr">
        <is>
          <t>Confirmar dos veces el mismo pedido (idempotencia)</t>
        </is>
      </c>
      <c r="C104" s="18" t="n">
        <v>1</v>
      </c>
      <c r="D104" s="17" t="inlineStr">
        <is>
          <t>Con un pedido en on-hold, confirmarlo.</t>
        </is>
      </c>
      <c r="E104" s="19" t="inlineStr">
        <is>
          <t>PUT {{BASE_URL}}/api/v1/orders/{{ORDER_ID_10}}</t>
        </is>
      </c>
      <c r="F104" s="19" t="inlineStr">
        <is>
          <t>{"status":"pending","order_key":"OC-IDEM-01"}</t>
        </is>
      </c>
      <c r="G104" s="17" t="inlineStr">
        <is>
          <t>200 y pasa a "pending".</t>
        </is>
      </c>
      <c r="H104" s="18" t="inlineStr"/>
      <c r="I104" s="18" t="inlineStr"/>
      <c r="J104" s="17" t="inlineStr"/>
    </row>
    <row r="105">
      <c r="A105" s="16" t="inlineStr">
        <is>
          <t>CP-21</t>
        </is>
      </c>
      <c r="B105" s="17" t="inlineStr">
        <is>
          <t>Confirmar dos veces el mismo pedido (idempotencia)</t>
        </is>
      </c>
      <c r="C105" s="18" t="n">
        <v>2</v>
      </c>
      <c r="D105" s="17" t="inlineStr">
        <is>
          <t>Repetir la llamada IDÉNTICA.</t>
        </is>
      </c>
      <c r="E105" s="19" t="inlineStr">
        <is>
          <t>PUT {{BASE_URL}}/api/v1/orders/{{ORDER_ID_10}}</t>
        </is>
      </c>
      <c r="F105" s="19" t="inlineStr">
        <is>
          <t>{"status":"pending","order_key":"OC-IDEM-01"}</t>
        </is>
      </c>
      <c r="G105" s="17" t="inlineStr">
        <is>
          <t>200 y devuelve el pedido tal como quedó, sin reescribir nada.</t>
        </is>
      </c>
      <c r="H105" s="18" t="inlineStr"/>
      <c r="I105" s="18" t="inlineStr"/>
      <c r="J105" s="17" t="inlineStr">
        <is>
          <t>Es a propósito: si el ERP escribe bien pero pierde la respuesta por un corte, reintenta — y un error ahí lo dejaría desincronizado.</t>
        </is>
      </c>
    </row>
    <row r="106">
      <c r="A106" s="16" t="inlineStr">
        <is>
          <t>CP-21</t>
        </is>
      </c>
      <c r="B106" s="17" t="inlineStr">
        <is>
          <t>Confirmar dos veces el mismo pedido (idempotencia)</t>
        </is>
      </c>
      <c r="C106" s="18" t="n">
        <v>3</v>
      </c>
      <c r="D106" s="17" t="inlineStr">
        <is>
          <t>Repetir con una orden de compra DISTINTA.</t>
        </is>
      </c>
      <c r="E106" s="19" t="inlineStr">
        <is>
          <t>PUT {{BASE_URL}}/api/v1/orders/{{ORDER_ID_10}}</t>
        </is>
      </c>
      <c r="F106" s="19" t="inlineStr">
        <is>
          <t>{"status":"pending","order_key":"OC-IDEM-02"}</t>
        </is>
      </c>
      <c r="G106" s="17" t="inlineStr">
        <is>
          <t>400 "Only on-hold orders can be acknowledged. Current status: pending".</t>
        </is>
      </c>
      <c r="H106" s="18" t="inlineStr"/>
      <c r="I106" s="18" t="inlineStr"/>
      <c r="J106" s="17" t="inlineStr">
        <is>
          <t>Eso no es un reintento: son dos órdenes de compra peleando por el mismo pedido. Se resuelve a mano.</t>
        </is>
      </c>
    </row>
    <row r="107">
      <c r="A107" s="16" t="inlineStr">
        <is>
          <t>CP-21</t>
        </is>
      </c>
      <c r="B107" s="17" t="inlineStr">
        <is>
          <t>Confirmar dos veces el mismo pedido (idempotencia)</t>
        </is>
      </c>
      <c r="C107" s="18" t="n">
        <v>4</v>
      </c>
      <c r="D107" s="17" t="inlineStr">
        <is>
          <t>Facturar ese pedido y DESPUÉS repetir la confirmación con la O/C original.</t>
        </is>
      </c>
      <c r="E107" s="19" t="inlineStr">
        <is>
          <t>PUT {{BASE_URL}}/api/v1/orders/{{ORDER_ID_10}}</t>
        </is>
      </c>
      <c r="F107" s="19" t="inlineStr">
        <is>
          <t>{"status":"pending","order_key":"OC-IDEM-01"}</t>
        </is>
      </c>
      <c r="G107" s="17" t="inlineStr">
        <is>
          <t>200, y el pedido SIGUE en "completed": no vuelve a pending.</t>
        </is>
      </c>
      <c r="H107" s="18" t="inlineStr"/>
      <c r="I107" s="18" t="inlineStr"/>
      <c r="J107" s="17" t="inlineStr">
        <is>
          <t>⚠ El 200 no significa "quedó en pending". Si el ERP lo interpreta así, se desincroniza. Confirmarlo con el integrador. Hallazgo H-14.</t>
        </is>
      </c>
    </row>
    <row r="108">
      <c r="A108" s="16" t="inlineStr">
        <is>
          <t>CP-21</t>
        </is>
      </c>
      <c r="B108" s="17" t="inlineStr">
        <is>
          <t>Confirmar dos veces el mismo pedido (idempotencia)</t>
        </is>
      </c>
      <c r="C108" s="18" t="n">
        <v>5</v>
      </c>
      <c r="D108" s="17" t="inlineStr">
        <is>
          <t>Anular un pedido y luego intentar confirmarlo con su misma O/C.</t>
        </is>
      </c>
      <c r="E108" s="19" t="inlineStr">
        <is>
          <t>PUT {{BASE_URL}}/api/v1/orders/{{ORDER_ID_11}}</t>
        </is>
      </c>
      <c r="F108" s="19" t="inlineStr">
        <is>
          <t>{"status":"pending","order_key":"OC-IDEM-03"}</t>
        </is>
      </c>
      <c r="G108" s="17" t="inlineStr">
        <is>
          <t>400 "Only on-hold orders can be acknowledged. Current status: cancelled".</t>
        </is>
      </c>
      <c r="H108" s="18" t="inlineStr"/>
      <c r="I108" s="18" t="inlineStr"/>
      <c r="J108" s="17" t="inlineStr">
        <is>
          <t>Un pedido anulado no se puede resucitar con un acuse tardío. Es correcto que falle.</t>
        </is>
      </c>
    </row>
    <row r="109">
      <c r="A109" s="20" t="inlineStr">
        <is>
          <t>CP-22</t>
        </is>
      </c>
      <c r="B109" s="21" t="inlineStr">
        <is>
          <t>Facturar un pedido que no está en pendiente</t>
        </is>
      </c>
      <c r="C109" s="22" t="n">
        <v>1</v>
      </c>
      <c r="D109" s="21" t="inlineStr">
        <is>
          <t>Intentar facturar un pedido YA ANULADO.</t>
        </is>
      </c>
      <c r="E109" s="23" t="inlineStr">
        <is>
          <t>PUT {{BASE_URL}}/api/v1/orders/{{ORDER_ID_3}}</t>
        </is>
      </c>
      <c r="F109" s="23" t="inlineStr">
        <is>
          <t>{"status":"completed","order_key":"FAC-9999","date_completed":"2026-08-01T17:00:00.000Z"}</t>
        </is>
      </c>
      <c r="G109" s="21" t="inlineStr">
        <is>
          <t>400 "Only pending orders can be completed. Current status: cancelled". No se envía correo ni se cambia nada.</t>
        </is>
      </c>
      <c r="H109" s="22" t="inlineStr"/>
      <c r="I109" s="22" t="inlineStr"/>
      <c r="J109" s="21" t="inlineStr"/>
    </row>
    <row r="110">
      <c r="A110" s="20" t="inlineStr">
        <is>
          <t>CP-22</t>
        </is>
      </c>
      <c r="B110" s="21" t="inlineStr">
        <is>
          <t>Facturar un pedido que no está en pendiente</t>
        </is>
      </c>
      <c r="C110" s="22" t="n">
        <v>2</v>
      </c>
      <c r="D110" s="21" t="inlineStr">
        <is>
          <t>Intentar facturar un pedido que sigue en on-hold (nunca se confirmó).</t>
        </is>
      </c>
      <c r="E110" s="23" t="inlineStr">
        <is>
          <t>PUT {{BASE_URL}}/api/v1/orders/{{ORDER_ID_12}}</t>
        </is>
      </c>
      <c r="F110" s="23" t="inlineStr">
        <is>
          <t>{"status":"completed","order_key":"FAC-8888","date_completed":"2026-08-01T17:00:00.000Z"}</t>
        </is>
      </c>
      <c r="G110" s="21" t="inlineStr">
        <is>
          <t>400 "… Current status: on-hold".</t>
        </is>
      </c>
      <c r="H110" s="22" t="inlineStr"/>
      <c r="I110" s="22" t="inlineStr"/>
      <c r="J110" s="21" t="inlineStr">
        <is>
          <t>Hay que confirmar recibo (pending) antes de facturar. El orden de los pasos es obligatorio.</t>
        </is>
      </c>
    </row>
    <row r="111">
      <c r="A111" s="20" t="inlineStr">
        <is>
          <t>CP-22</t>
        </is>
      </c>
      <c r="B111" s="21" t="inlineStr">
        <is>
          <t>Facturar un pedido que no está en pendiente</t>
        </is>
      </c>
      <c r="C111" s="22" t="n">
        <v>3</v>
      </c>
      <c r="D111" s="21" t="inlineStr">
        <is>
          <t>Refacturar un pedido ya facturado con el MISMO número de factura.</t>
        </is>
      </c>
      <c r="E111" s="23" t="inlineStr">
        <is>
          <t>PUT {{BASE_URL}}/api/v1/orders/{{ORDER_ID}}</t>
        </is>
      </c>
      <c r="F111" s="23" t="inlineStr">
        <is>
          <t>{"status":"completed","order_key":"OC-PRUEBA-001 / FAC-0001","date_completed":"2026-08-01T15:30:00.000Z"}</t>
        </is>
      </c>
      <c r="G111" s="21" t="inlineStr">
        <is>
          <t>200 y devuelve el pedido tal cual, SIN reescribir y SIN volver a mandar el correo al cliente.</t>
        </is>
      </c>
      <c r="H111" s="22" t="inlineStr"/>
      <c r="I111" s="22" t="inlineStr"/>
      <c r="J111" s="21" t="inlineStr">
        <is>
          <t>Verificar en la bandeja que no llegó un segundo correo.</t>
        </is>
      </c>
    </row>
    <row r="112">
      <c r="A112" s="20" t="inlineStr">
        <is>
          <t>CP-22</t>
        </is>
      </c>
      <c r="B112" s="21" t="inlineStr">
        <is>
          <t>Facturar un pedido que no está en pendiente</t>
        </is>
      </c>
      <c r="C112" s="22" t="n">
        <v>4</v>
      </c>
      <c r="D112" s="21" t="inlineStr">
        <is>
          <t>Refacturar con OTRO número de factura.</t>
        </is>
      </c>
      <c r="E112" s="23" t="inlineStr">
        <is>
          <t>PUT {{BASE_URL}}/api/v1/orders/{{ORDER_ID}}</t>
        </is>
      </c>
      <c r="F112" s="23" t="inlineStr">
        <is>
          <t>{"status":"completed","order_key":"FAC-DISTINTA","date_completed":"2026-08-01T17:10:00.000Z"}</t>
        </is>
      </c>
      <c r="G112" s="21" t="inlineStr">
        <is>
          <t>400. Dos facturas distintas sobre el mismo pedido se resuelven a mano.</t>
        </is>
      </c>
      <c r="H112" s="22" t="inlineStr"/>
      <c r="I112" s="22" t="inlineStr"/>
      <c r="J112" s="21" t="inlineStr"/>
    </row>
    <row r="113">
      <c r="A113" s="16" t="inlineStr">
        <is>
          <t>CP-23</t>
        </is>
      </c>
      <c r="B113" s="17" t="inlineStr">
        <is>
          <t>Anular un pedido que no corresponde</t>
        </is>
      </c>
      <c r="C113" s="18" t="n">
        <v>1</v>
      </c>
      <c r="D113" s="17" t="inlineStr">
        <is>
          <t>Intentar anular un pedido YA FACTURADO.</t>
        </is>
      </c>
      <c r="E113" s="19" t="inlineStr">
        <is>
          <t>PUT {{BASE_URL}}/api/v1/orders/{{ORDER_ID}}</t>
        </is>
      </c>
      <c r="F113" s="19" t="inlineStr">
        <is>
          <t>{"status":"cancelled","date_completed":"2026-08-01T17:20:00.000Z"}</t>
        </is>
      </c>
      <c r="G113" s="17" t="inlineStr">
        <is>
          <t>400 "Order cannot be cancelled. Current status: completed".</t>
        </is>
      </c>
      <c r="H113" s="18" t="inlineStr"/>
      <c r="I113" s="18" t="inlineStr"/>
      <c r="J113" s="17" t="inlineStr">
        <is>
          <t>Un pedido facturado sólo se revierte por nota de crédito en el ERP, no por esta vía.</t>
        </is>
      </c>
    </row>
    <row r="114">
      <c r="A114" s="16" t="inlineStr">
        <is>
          <t>CP-23</t>
        </is>
      </c>
      <c r="B114" s="17" t="inlineStr">
        <is>
          <t>Anular un pedido que no corresponde</t>
        </is>
      </c>
      <c r="C114" s="18" t="n">
        <v>2</v>
      </c>
      <c r="D114" s="17" t="inlineStr">
        <is>
          <t>Comprobar que el inventario no se movió con ese intento.</t>
        </is>
      </c>
      <c r="E114" s="19" t="inlineStr">
        <is>
          <t>GET {{BASE_URL}}/api/v1/products/sku/{{SKU}}</t>
        </is>
      </c>
      <c r="F114" s="19" t="inlineStr">
        <is>
          <t>Cabecera: Authorization: Bearer {{CK}}:{{CS}}</t>
        </is>
      </c>
      <c r="G114" s="17" t="inlineStr">
        <is>
          <t>El stock quedó igual: el rechazo ocurre antes de devolver nada.</t>
        </is>
      </c>
      <c r="H114" s="18" t="inlineStr"/>
      <c r="I114" s="18" t="inlineStr"/>
      <c r="J114" s="17" t="inlineStr"/>
    </row>
    <row r="115">
      <c r="A115" s="16" t="inlineStr">
        <is>
          <t>CP-23</t>
        </is>
      </c>
      <c r="B115" s="17" t="inlineStr">
        <is>
          <t>Anular un pedido que no corresponde</t>
        </is>
      </c>
      <c r="C115" s="18" t="n">
        <v>3</v>
      </c>
      <c r="D115" s="17" t="inlineStr">
        <is>
          <t>Anular un pedido que está en on-hold, sin haberlo confirmado nunca.</t>
        </is>
      </c>
      <c r="E115" s="19" t="inlineStr">
        <is>
          <t>PUT {{BASE_URL}}/api/v1/orders/{{ORDER_ID_12}}</t>
        </is>
      </c>
      <c r="F115" s="19" t="inlineStr">
        <is>
          <t>{"status":"cancelled","date_completed":"2026-08-01T17:25:00.000Z"}</t>
        </is>
      </c>
      <c r="G115" s="17" t="inlineStr">
        <is>
          <t>200: SÍ se puede anular directo desde on-hold, y el inventario vuelve.</t>
        </is>
      </c>
      <c r="H115" s="18" t="inlineStr"/>
      <c r="I115" s="18" t="inlineStr"/>
      <c r="J115" s="17" t="inlineStr">
        <is>
          <t>Es el camino para deshacer un pedido que el ERP nunca llegó a tomar.</t>
        </is>
      </c>
    </row>
    <row r="116">
      <c r="A116" s="16" t="inlineStr">
        <is>
          <t>CP-23</t>
        </is>
      </c>
      <c r="B116" s="17" t="inlineStr">
        <is>
          <t>Anular un pedido que no corresponde</t>
        </is>
      </c>
      <c r="C116" s="18" t="n">
        <v>4</v>
      </c>
      <c r="D116" s="17" t="inlineStr">
        <is>
          <t>Anular dos veces seguidas ese mismo pedido y revisar el stock después de cada llamada.</t>
        </is>
      </c>
      <c r="E116" s="19" t="inlineStr">
        <is>
          <t>PUT {{BASE_URL}}/api/v1/orders/{{ORDER_ID_12}} (×2) + GET del producto</t>
        </is>
      </c>
      <c r="F116" s="19" t="inlineStr">
        <is>
          <t>{"status":"cancelled","date_completed":"2026-08-01T17:25:00.000Z"}</t>
        </is>
      </c>
      <c r="G116" s="17" t="inlineStr">
        <is>
          <t>200 las dos veces y el inventario vuelve UNA sola vez.</t>
        </is>
      </c>
      <c r="H116" s="18" t="inlineStr"/>
      <c r="I116" s="18" t="inlineStr"/>
      <c r="J116" s="17" t="inlineStr">
        <is>
          <t>Es la prueba más importante de todas: si el stock sube dos veces, se infla el inventario de mercancía que nunca volvió al depósito.</t>
        </is>
      </c>
    </row>
    <row r="117">
      <c r="A117" s="20" t="inlineStr">
        <is>
          <t>CP-24</t>
        </is>
      </c>
      <c r="B117" s="21" t="inlineStr">
        <is>
          <t>Fecha de facturación mal escrita</t>
        </is>
      </c>
      <c r="C117" s="22" t="n">
        <v>1</v>
      </c>
      <c r="D117" s="21" t="inlineStr">
        <is>
          <t>Mandar la fecha en formato venezolano.</t>
        </is>
      </c>
      <c r="E117" s="23" t="inlineStr">
        <is>
          <t>PUT {{BASE_URL}}/api/v1/orders/{{ORDER_ID_13}}</t>
        </is>
      </c>
      <c r="F117" s="23" t="inlineStr">
        <is>
          <t>{"status":"cancelled","date_completed":"01/08/2026"}</t>
        </is>
      </c>
      <c r="G117" s="21" t="inlineStr">
        <is>
          <t>400: se exige el formato ISO 8601 (2026-08-01T16:00:00.000Z).</t>
        </is>
      </c>
      <c r="H117" s="22" t="inlineStr"/>
      <c r="I117" s="22" t="inlineStr"/>
      <c r="J117" s="21" t="inlineStr"/>
    </row>
    <row r="118">
      <c r="A118" s="20" t="inlineStr">
        <is>
          <t>CP-24</t>
        </is>
      </c>
      <c r="B118" s="21" t="inlineStr">
        <is>
          <t>Fecha de facturación mal escrita</t>
        </is>
      </c>
      <c r="C118" s="22" t="n">
        <v>2</v>
      </c>
      <c r="D118" s="21" t="inlineStr">
        <is>
          <t>Mandar una fecha imposible.</t>
        </is>
      </c>
      <c r="E118" s="23" t="inlineStr">
        <is>
          <t>PUT {{BASE_URL}}/api/v1/orders/{{ORDER_ID_13}}</t>
        </is>
      </c>
      <c r="F118" s="23" t="inlineStr">
        <is>
          <t>{"status":"cancelled","date_completed":"2026-13-45T10:00:00Z"}</t>
        </is>
      </c>
      <c r="G118" s="21" t="inlineStr">
        <is>
          <t>400.</t>
        </is>
      </c>
      <c r="H118" s="22" t="inlineStr"/>
      <c r="I118" s="22" t="inlineStr"/>
      <c r="J118" s="21" t="inlineStr"/>
    </row>
    <row r="119">
      <c r="A119" s="20" t="inlineStr">
        <is>
          <t>CP-24</t>
        </is>
      </c>
      <c r="B119" s="21" t="inlineStr">
        <is>
          <t>Fecha de facturación mal escrita</t>
        </is>
      </c>
      <c r="C119" s="22" t="n">
        <v>3</v>
      </c>
      <c r="D119" s="21" t="inlineStr">
        <is>
          <t>Mandar la fecha vacía.</t>
        </is>
      </c>
      <c r="E119" s="23" t="inlineStr">
        <is>
          <t>PUT {{BASE_URL}}/api/v1/orders/{{ORDER_ID_13}}</t>
        </is>
      </c>
      <c r="F119" s="23" t="inlineStr">
        <is>
          <t>{"status":"cancelled","date_completed":""}</t>
        </is>
      </c>
      <c r="G119" s="21" t="inlineStr">
        <is>
          <t>400.</t>
        </is>
      </c>
      <c r="H119" s="22" t="inlineStr"/>
      <c r="I119" s="22" t="inlineStr"/>
      <c r="J119" s="21" t="inlineStr"/>
    </row>
    <row r="120">
      <c r="A120" s="20" t="inlineStr">
        <is>
          <t>CP-24</t>
        </is>
      </c>
      <c r="B120" s="21" t="inlineStr">
        <is>
          <t>Fecha de facturación mal escrita</t>
        </is>
      </c>
      <c r="C120" s="22" t="n">
        <v>4</v>
      </c>
      <c r="D120" s="21" t="inlineStr">
        <is>
          <t>Mandar sólo la fecha, sin la hora.</t>
        </is>
      </c>
      <c r="E120" s="23" t="inlineStr">
        <is>
          <t>PUT {{BASE_URL}}/api/v1/orders/{{ORDER_ID_13}}</t>
        </is>
      </c>
      <c r="F120" s="23" t="inlineStr">
        <is>
          <t>{"status":"cancelled","date_completed":"2026-08-01"}</t>
        </is>
      </c>
      <c r="G120" s="21" t="inlineStr">
        <is>
          <t>⚠ SE ACEPTA (200) y se guarda como medianoche UTC, o sea el 31/07 a las 8:00 pm hora de Venezuela.</t>
        </is>
      </c>
      <c r="H120" s="22" t="inlineStr"/>
      <c r="I120" s="22" t="inlineStr"/>
      <c r="J120" s="21" t="inlineStr">
        <is>
          <t>⚠ Posible hueco — verificar cómo lo muestra el panel y si a OrbisNet le sirve. Hallazgo H-08.</t>
        </is>
      </c>
    </row>
    <row r="121">
      <c r="A121" s="20" t="inlineStr">
        <is>
          <t>CP-24</t>
        </is>
      </c>
      <c r="B121" s="21" t="inlineStr">
        <is>
          <t>Fecha de facturación mal escrita</t>
        </is>
      </c>
      <c r="C121" s="22" t="n">
        <v>5</v>
      </c>
      <c r="D121" s="21" t="inlineStr">
        <is>
          <t>Mandar texto libre.</t>
        </is>
      </c>
      <c r="E121" s="23" t="inlineStr">
        <is>
          <t>PUT {{BASE_URL}}/api/v1/orders/{{ORDER_ID_13}}</t>
        </is>
      </c>
      <c r="F121" s="23" t="inlineStr">
        <is>
          <t>{"status":"cancelled","date_completed":"hoy"}</t>
        </is>
      </c>
      <c r="G121" s="21" t="inlineStr">
        <is>
          <t>400.</t>
        </is>
      </c>
      <c r="H121" s="22" t="inlineStr"/>
      <c r="I121" s="22" t="inlineStr"/>
      <c r="J121" s="21" t="inlineStr"/>
    </row>
    <row r="122">
      <c r="A122" s="20" t="inlineStr">
        <is>
          <t>CP-24</t>
        </is>
      </c>
      <c r="B122" s="21" t="inlineStr">
        <is>
          <t>Fecha de facturación mal escrita</t>
        </is>
      </c>
      <c r="C122" s="22" t="n">
        <v>6</v>
      </c>
      <c r="D122" s="21" t="inlineStr">
        <is>
          <t>Mandar una fecha del futuro lejano.</t>
        </is>
      </c>
      <c r="E122" s="23" t="inlineStr">
        <is>
          <t>PUT {{BASE_URL}}/api/v1/orders/{{ORDER_ID_13}}</t>
        </is>
      </c>
      <c r="F122" s="23" t="inlineStr">
        <is>
          <t>{"status":"cancelled","date_completed":"2030-01-01T00:00:00.000Z"}</t>
        </is>
      </c>
      <c r="G122" s="21" t="inlineStr">
        <is>
          <t>⚠ SE ACEPTA (200): no se valida que la fecha sea razonable.</t>
        </is>
      </c>
      <c r="H122" s="22" t="inlineStr"/>
      <c r="I122" s="22" t="inlineStr"/>
      <c r="J122" s="21" t="inlineStr">
        <is>
          <t>⚠ Posible hueco — verificar. Si al cliente le molesta, anotarlo. Hallazgo H-08.</t>
        </is>
      </c>
    </row>
    <row r="123">
      <c r="A123" s="16" t="inlineStr">
        <is>
          <t>CP-25</t>
        </is>
      </c>
      <c r="B123" s="17" t="inlineStr">
        <is>
          <t>Cuerpo del mensaje mal armado</t>
        </is>
      </c>
      <c r="C123" s="18" t="n">
        <v>1</v>
      </c>
      <c r="D123" s="17" t="inlineStr">
        <is>
          <t>Mandar un estado que no existe en el contrato.</t>
        </is>
      </c>
      <c r="E123" s="19" t="inlineStr">
        <is>
          <t>PUT {{BASE_URL}}/api/v1/orders/{{ORDER_ID_13}}</t>
        </is>
      </c>
      <c r="F123" s="19" t="inlineStr">
        <is>
          <t>{"status":"shipped","order_key":"X"}</t>
        </is>
      </c>
      <c r="G123" s="17" t="inlineStr">
        <is>
          <t>400: sólo se aceptan pending, completed, cancelled y canceled.</t>
        </is>
      </c>
      <c r="H123" s="18" t="inlineStr"/>
      <c r="I123" s="18" t="inlineStr"/>
      <c r="J123" s="17" t="inlineStr"/>
    </row>
    <row r="124">
      <c r="A124" s="16" t="inlineStr">
        <is>
          <t>CP-25</t>
        </is>
      </c>
      <c r="B124" s="17" t="inlineStr">
        <is>
          <t>Cuerpo del mensaje mal armado</t>
        </is>
      </c>
      <c r="C124" s="18" t="n">
        <v>2</v>
      </c>
      <c r="D124" s="17" t="inlineStr">
        <is>
          <t>Mandar el cuerpo vacío.</t>
        </is>
      </c>
      <c r="E124" s="19" t="inlineStr">
        <is>
          <t>PUT {{BASE_URL}}/api/v1/orders/{{ORDER_ID_13}}</t>
        </is>
      </c>
      <c r="F124" s="19" t="inlineStr">
        <is>
          <t>{}</t>
        </is>
      </c>
      <c r="G124" s="17" t="inlineStr">
        <is>
          <t>400 por falta del campo status.</t>
        </is>
      </c>
      <c r="H124" s="18" t="inlineStr"/>
      <c r="I124" s="18" t="inlineStr"/>
      <c r="J124" s="17" t="inlineStr"/>
    </row>
    <row r="125">
      <c r="A125" s="16" t="inlineStr">
        <is>
          <t>CP-25</t>
        </is>
      </c>
      <c r="B125" s="17" t="inlineStr">
        <is>
          <t>Cuerpo del mensaje mal armado</t>
        </is>
      </c>
      <c r="C125" s="18" t="n">
        <v>3</v>
      </c>
      <c r="D125" s="17" t="inlineStr">
        <is>
          <t>Mandar un campo de más.</t>
        </is>
      </c>
      <c r="E125" s="19" t="inlineStr">
        <is>
          <t>PUT {{BASE_URL}}/api/v1/orders/{{ORDER_ID_13}}</t>
        </is>
      </c>
      <c r="F125" s="19" t="inlineStr">
        <is>
          <t>{"status":"pending","order_key":"OC-1","customer_note":"algo"}</t>
        </is>
      </c>
      <c r="G125" s="17" t="inlineStr">
        <is>
          <t>400 "property customer_note should not exist".</t>
        </is>
      </c>
      <c r="H125" s="18" t="inlineStr"/>
      <c r="I125" s="18" t="inlineStr"/>
      <c r="J125" s="17" t="inlineStr">
        <is>
          <t>⚠ El contrato es estricto: si OrbisNet manda campos extra (como haría un cliente de WooCommerce), TODA la llamada falla. Confirmarlo con el integrador. Hallazgo H-05.</t>
        </is>
      </c>
    </row>
    <row r="126">
      <c r="A126" s="16" t="inlineStr">
        <is>
          <t>CP-25</t>
        </is>
      </c>
      <c r="B126" s="17" t="inlineStr">
        <is>
          <t>Cuerpo del mensaje mal armado</t>
        </is>
      </c>
      <c r="C126" s="18" t="n">
        <v>4</v>
      </c>
      <c r="D126" s="17" t="inlineStr">
        <is>
          <t>Mandar el estado en mayúsculas.</t>
        </is>
      </c>
      <c r="E126" s="19" t="inlineStr">
        <is>
          <t>PUT {{BASE_URL}}/api/v1/orders/{{ORDER_ID_13}}</t>
        </is>
      </c>
      <c r="F126" s="19" t="inlineStr">
        <is>
          <t>{"status":"PENDING","order_key":"OC-1"}</t>
        </is>
      </c>
      <c r="G126" s="17" t="inlineStr">
        <is>
          <t>400: distingue mayúsculas de minúsculas.</t>
        </is>
      </c>
      <c r="H126" s="18" t="inlineStr"/>
      <c r="I126" s="18" t="inlineStr"/>
      <c r="J126" s="17" t="inlineStr"/>
    </row>
    <row r="127">
      <c r="A127" s="16" t="inlineStr">
        <is>
          <t>CP-25</t>
        </is>
      </c>
      <c r="B127" s="17" t="inlineStr">
        <is>
          <t>Cuerpo del mensaje mal armado</t>
        </is>
      </c>
      <c r="C127" s="18" t="n">
        <v>5</v>
      </c>
      <c r="D127" s="17" t="inlineStr">
        <is>
          <t>Mandar sin la cabecera Content-Type: application/json.</t>
        </is>
      </c>
      <c r="E127" s="19" t="inlineStr">
        <is>
          <t>PUT {{BASE_URL}}/api/v1/orders/{{ORDER_ID_13}}</t>
        </is>
      </c>
      <c r="F127" s="19" t="inlineStr">
        <is>
          <t>Mismo cuerpo, sin Content-Type.</t>
        </is>
      </c>
      <c r="G127" s="17" t="inlineStr">
        <is>
          <t>Se espera 400 (el cuerpo llega vacío y falla la validación). Anotar el código exacto que devuelva.</t>
        </is>
      </c>
      <c r="H127" s="18" t="inlineStr"/>
      <c r="I127" s="18" t="inlineStr"/>
      <c r="J127" s="17" t="inlineStr">
        <is>
          <t>⚠ Verificar en vivo.</t>
        </is>
      </c>
    </row>
    <row r="128">
      <c r="A128" s="20" t="inlineStr">
        <is>
          <t>CP-26</t>
        </is>
      </c>
      <c r="B128" s="21" t="inlineStr">
        <is>
          <t>Paginación con valores exagerados o raros</t>
        </is>
      </c>
      <c r="C128" s="22" t="n">
        <v>1</v>
      </c>
      <c r="D128" s="21" t="inlineStr">
        <is>
          <t>Pedir cien mil registros por página y medir cuánto tarda.</t>
        </is>
      </c>
      <c r="E128" s="23" t="inlineStr">
        <is>
          <t>GET {{BASE_URL}}/api/v1/orders/on-hold?perPage=100000</t>
        </is>
      </c>
      <c r="F128" s="23" t="inlineStr">
        <is>
          <t>Cabecera: Authorization: Bearer {{CK}}:{{CS}}</t>
        </is>
      </c>
      <c r="G128" s="21" t="inlineStr">
        <is>
          <t>200 y devuelve TODOS los pedidos en on-hold de un solo golpe. Anotar el tiempo de respuesta.</t>
        </is>
      </c>
      <c r="H128" s="22" t="inlineStr"/>
      <c r="I128" s="22" t="inlineStr"/>
      <c r="J128" s="21" t="inlineStr">
        <is>
          <t>⚠ No hay tope de perPage. Con muchos pedidos, el ERP puede tumbar el servidor sin querer. Hallazgo H-04.</t>
        </is>
      </c>
    </row>
    <row r="129">
      <c r="A129" s="20" t="inlineStr">
        <is>
          <t>CP-26</t>
        </is>
      </c>
      <c r="B129" s="21" t="inlineStr">
        <is>
          <t>Paginación con valores exagerados o raros</t>
        </is>
      </c>
      <c r="C129" s="22" t="n">
        <v>2</v>
      </c>
      <c r="D129" s="21" t="inlineStr">
        <is>
          <t>Mandar un perPage con letras.</t>
        </is>
      </c>
      <c r="E129" s="23" t="inlineStr">
        <is>
          <t>GET {{BASE_URL}}/api/v1/orders/on-hold?perPage=abc</t>
        </is>
      </c>
      <c r="F129" s="23" t="inlineStr">
        <is>
          <t>Cabecera: Authorization: Bearer {{CK}}:{{CS}}</t>
        </is>
      </c>
      <c r="G129" s="21" t="inlineStr">
        <is>
          <t>400 "Validation failed (numeric string is expected)".</t>
        </is>
      </c>
      <c r="H129" s="22" t="inlineStr"/>
      <c r="I129" s="22" t="inlineStr"/>
      <c r="J129" s="21" t="inlineStr"/>
    </row>
    <row r="130">
      <c r="A130" s="20" t="inlineStr">
        <is>
          <t>CP-26</t>
        </is>
      </c>
      <c r="B130" s="21" t="inlineStr">
        <is>
          <t>Paginación con valores exagerados o raros</t>
        </is>
      </c>
      <c r="C130" s="22" t="n">
        <v>3</v>
      </c>
      <c r="D130" s="21" t="inlineStr">
        <is>
          <t>Mandar perPage en cero.</t>
        </is>
      </c>
      <c r="E130" s="23" t="inlineStr">
        <is>
          <t>GET {{BASE_URL}}/api/v1/orders/on-hold?perPage=0</t>
        </is>
      </c>
      <c r="F130" s="23" t="inlineStr">
        <is>
          <t>Cabecera: Authorization: Bearer {{CK}}:{{CS}}</t>
        </is>
      </c>
      <c r="G130" s="21" t="inlineStr">
        <is>
          <t>⚠ VERIFICAR EN VIVO: puede devolver TODOS los pedidos y un lastPage nulo o infinito. Anotar exactamente qué respondió.</t>
        </is>
      </c>
      <c r="H130" s="22" t="inlineStr"/>
      <c r="I130" s="22" t="inlineStr"/>
      <c r="J130" s="21" t="inlineStr">
        <is>
          <t>⚠ Posible hueco — no hay validación de mínimo. Hallazgo H-05.</t>
        </is>
      </c>
    </row>
    <row r="131">
      <c r="A131" s="20" t="inlineStr">
        <is>
          <t>CP-26</t>
        </is>
      </c>
      <c r="B131" s="21" t="inlineStr">
        <is>
          <t>Paginación con valores exagerados o raros</t>
        </is>
      </c>
      <c r="C131" s="22" t="n">
        <v>4</v>
      </c>
      <c r="D131" s="21" t="inlineStr">
        <is>
          <t>Mandar la página en cero.</t>
        </is>
      </c>
      <c r="E131" s="23" t="inlineStr">
        <is>
          <t>GET {{BASE_URL}}/api/v1/orders/on-hold?page=0&amp;perPage=10</t>
        </is>
      </c>
      <c r="F131" s="23" t="inlineStr">
        <is>
          <t>Cabecera: Authorization: Bearer {{CK}}:{{CS}}</t>
        </is>
      </c>
      <c r="G131" s="21" t="inlineStr">
        <is>
          <t>⚠ VERIFICAR EN VIVO: el salto queda negativo y puede responder 500. Anotar el código real.</t>
        </is>
      </c>
      <c r="H131" s="22" t="inlineStr"/>
      <c r="I131" s="22" t="inlineStr"/>
      <c r="J131" s="21" t="inlineStr">
        <is>
          <t>⚠ Posible hueco — no hay validación de mínimo. Hallazgo H-05.</t>
        </is>
      </c>
    </row>
    <row r="132">
      <c r="A132" s="20" t="inlineStr">
        <is>
          <t>CP-26</t>
        </is>
      </c>
      <c r="B132" s="21" t="inlineStr">
        <is>
          <t>Paginación con valores exagerados o raros</t>
        </is>
      </c>
      <c r="C132" s="22" t="n">
        <v>5</v>
      </c>
      <c r="D132" s="21" t="inlineStr">
        <is>
          <t>Mandar la página negativa.</t>
        </is>
      </c>
      <c r="E132" s="23" t="inlineStr">
        <is>
          <t>GET {{BASE_URL}}/api/v1/orders/on-hold?page=-1&amp;perPage=10</t>
        </is>
      </c>
      <c r="F132" s="23" t="inlineStr">
        <is>
          <t>Cabecera: Authorization: Bearer {{CK}}:{{CS}}</t>
        </is>
      </c>
      <c r="G132" s="21" t="inlineStr">
        <is>
          <t>⚠ VERIFICAR EN VIVO: mismo riesgo que el paso anterior.</t>
        </is>
      </c>
      <c r="H132" s="22" t="inlineStr"/>
      <c r="I132" s="22" t="inlineStr"/>
      <c r="J132" s="21" t="inlineStr">
        <is>
          <t>⚠ Posible hueco. Hallazgo H-05.</t>
        </is>
      </c>
    </row>
    <row r="133">
      <c r="A133" s="20" t="inlineStr">
        <is>
          <t>CP-26</t>
        </is>
      </c>
      <c r="B133" s="21" t="inlineStr">
        <is>
          <t>Paginación con valores exagerados o raros</t>
        </is>
      </c>
      <c r="C133" s="22" t="n">
        <v>6</v>
      </c>
      <c r="D133" s="21" t="inlineStr">
        <is>
          <t>Después de todo lo anterior, volver a la consulta normal.</t>
        </is>
      </c>
      <c r="E133" s="23" t="inlineStr">
        <is>
          <t>GET {{BASE_URL}}/api/v1/orders/on-hold?page=1&amp;perPage=10</t>
        </is>
      </c>
      <c r="F133" s="23" t="inlineStr">
        <is>
          <t>Cabecera: Authorization: Bearer {{CK}}:{{CS}}</t>
        </is>
      </c>
      <c r="G133" s="21" t="inlineStr">
        <is>
          <t>200 normal: el servidor sigue en pie y responde igual que al principio.</t>
        </is>
      </c>
      <c r="H133" s="22" t="inlineStr"/>
      <c r="I133" s="22" t="inlineStr"/>
      <c r="J133" s="21" t="inlineStr">
        <is>
          <t>Si acá falla, el servidor quedó afectado por las pruebas anteriores: anotarlo como bloqueante.</t>
        </is>
      </c>
    </row>
    <row r="134">
      <c r="A134" s="16" t="inlineStr">
        <is>
          <t>CP-27</t>
        </is>
      </c>
      <c r="B134" s="17" t="inlineStr">
        <is>
          <t>Endpoints que el ERP NO debe usar</t>
        </is>
      </c>
      <c r="C134" s="18" t="n">
        <v>1</v>
      </c>
      <c r="D134" s="17" t="inlineStr">
        <is>
          <t>Consultar el listado general de pedidos con la llave del ERP.</t>
        </is>
      </c>
      <c r="E134" s="19" t="inlineStr">
        <is>
          <t>GET {{BASE_URL}}/api/v1/orders?page=1&amp;perPage=5</t>
        </is>
      </c>
      <c r="F134" s="19" t="inlineStr">
        <is>
          <t>Cabecera: Authorization: Bearer {{CK}}:{{CS}}</t>
        </is>
      </c>
      <c r="G134" s="17" t="inlineStr">
        <is>
          <t>200, pero devuelve el pedido CRUDO (no el formato WooCommerce), con datos personales, dirección y datos del pago de todos los pedidos.</t>
        </is>
      </c>
      <c r="H134" s="18" t="inlineStr"/>
      <c r="I134" s="18" t="inlineStr"/>
      <c r="J134" s="17" t="inlineStr">
        <is>
          <t>⚠ Una llave de solo lectura ve todo eso. Hallazgo H-10.</t>
        </is>
      </c>
    </row>
    <row r="135">
      <c r="A135" s="16" t="inlineStr">
        <is>
          <t>CP-27</t>
        </is>
      </c>
      <c r="B135" s="17" t="inlineStr">
        <is>
          <t>Endpoints que el ERP NO debe usar</t>
        </is>
      </c>
      <c r="C135" s="18" t="n">
        <v>2</v>
      </c>
      <c r="D135" s="17" t="inlineStr">
        <is>
          <t>Confirmar con el integrador qué endpoints consume OrbisNet.</t>
        </is>
      </c>
      <c r="E135" s="19" t="inlineStr">
        <is>
          <t>Conversación</t>
        </is>
      </c>
      <c r="F135" s="19" t="inlineStr">
        <is>
          <t>—</t>
        </is>
      </c>
      <c r="G135" s="17" t="inlineStr">
        <is>
          <t>OrbisNet debe usar SOLO: GET /api/v1/orders/on-hold, GET /api/v1/orders/:id y PUT /api/v1/orders/:id.</t>
        </is>
      </c>
      <c r="H135" s="18" t="inlineStr"/>
      <c r="I135" s="18" t="inlineStr"/>
      <c r="J135" s="17" t="inlineStr">
        <is>
          <t>Dejarlo escrito en la minuta de la reunión.</t>
        </is>
      </c>
    </row>
    <row r="136">
      <c r="A136" s="16" t="inlineStr">
        <is>
          <t>CP-27</t>
        </is>
      </c>
      <c r="B136" s="17" t="inlineStr">
        <is>
          <t>Endpoints que el ERP NO debe usar</t>
        </is>
      </c>
      <c r="C136" s="18" t="n">
        <v>3</v>
      </c>
      <c r="D136" s="17" t="inlineStr">
        <is>
          <t>Medir el tiempo del listado general con la base llena.</t>
        </is>
      </c>
      <c r="E136" s="19" t="inlineStr">
        <is>
          <t>GET {{BASE_URL}}/api/v1/orders?page=1&amp;perPage=5</t>
        </is>
      </c>
      <c r="F136" s="19" t="inlineStr">
        <is>
          <t>Cabecera: Authorization: Bearer {{CK}}:{{CS}}</t>
        </is>
      </c>
      <c r="G136" s="17" t="inlineStr">
        <is>
          <t>Anotar el tiempo: este endpoint trae TODOS los pedidos de la base y recién después corta la página en memoria.</t>
        </is>
      </c>
      <c r="H136" s="18" t="inlineStr"/>
      <c r="I136" s="18" t="inlineStr"/>
      <c r="J136" s="17" t="inlineStr">
        <is>
          <t>⚠ Se degrada con el tiempo. Hallazgo H-10.</t>
        </is>
      </c>
    </row>
  </sheetData>
  <autoFilter ref="A1:J136"/>
  <conditionalFormatting sqref="H2:H136">
    <cfRule type="cellIs" priority="1" operator="equal" dxfId="0">
      <formula>"X"</formula>
    </cfRule>
  </conditionalFormatting>
  <conditionalFormatting sqref="I2:I136">
    <cfRule type="cellIs" priority="2" operator="equal" dxfId="1">
      <formula>"X"</formula>
    </cfRule>
  </conditionalFormatting>
  <dataValidations count="1">
    <dataValidation sqref="H2:I136" showDropDown="0" showInputMessage="1" showErrorMessage="1" allowBlank="1" errorTitle="Valor no válido" error="Marcar con X, o dejar la casilla vacía si el paso no se ha probado." promptTitle="Resultado" prompt="Marcar X si aplica"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44" customWidth="1" min="3" max="3"/>
    <col width="108" customWidth="1" min="4" max="4"/>
  </cols>
  <sheetData>
    <row r="1" ht="30" customHeight="1">
      <c r="A1" s="9" t="inlineStr">
        <is>
          <t>Caso</t>
        </is>
      </c>
      <c r="B1" s="9" t="inlineStr">
        <is>
          <t>Qué hace</t>
        </is>
      </c>
      <c r="C1" s="9" t="inlineStr">
        <is>
          <t>Notas</t>
        </is>
      </c>
      <c r="D1" s="9" t="inlineStr">
        <is>
          <t>Comando (copiar y pegar)</t>
        </is>
      </c>
    </row>
    <row r="2">
      <c r="A2" s="6" t="inlineStr">
        <is>
          <t>Antes</t>
        </is>
      </c>
      <c r="B2" s="6" t="inlineStr">
        <is>
          <t>Reemplazar los valores entre llaves dobles</t>
        </is>
      </c>
      <c r="C2" s="6" t="inlineStr">
        <is>
          <t>{{BASE_URL}} dirección del servidor · {{CK}} clave · {{CS}} secreto · {{ORDER_ID}} id del pedido · {{ORDER_NUMBER}} número ORD-… · {{ORDER_UUID}} uuid · {{SKU}} código del producto · {{PRODUCT_UUID}} uuid del producto</t>
        </is>
      </c>
      <c r="D2" s="6" t="inlineStr">
        <is>
          <t># Todos los comandos suponen que ya se exportaron BASE_URL, CK y CS (ver la fila siguiente).</t>
        </is>
      </c>
    </row>
    <row r="3">
      <c r="A3" s="16" t="inlineStr">
        <is>
          <t>Autenticación</t>
        </is>
      </c>
      <c r="B3" s="17" t="inlineStr">
        <is>
          <t>Todos</t>
        </is>
      </c>
      <c r="C3" s="17" t="inlineStr">
        <is>
          <t>Así se autentica cada llamada. La llave del ERP debe tener permiso de lectura Y escritura.</t>
        </is>
      </c>
      <c r="D3" s="19" t="inlineStr">
        <is>
          <t>export BASE_URL="https://api.construir.com"
export CK="{{CONSUMER_KEY}}"
export CS="{{CONSUMER_SECRET}}"
# Forma 1 (la que usa OrbisNet):
#   -H "Authorization: Bearer $CK:$CS"
# Forma 2 (equivalente):
#   -H "x-consumer-key: $CK" -H "x-consumer-secret: $CS"</t>
        </is>
      </c>
    </row>
    <row r="4">
      <c r="A4" s="20" t="inlineStr">
        <is>
          <t>CP-01</t>
        </is>
      </c>
      <c r="B4" s="21" t="inlineStr">
        <is>
          <t>Ver la cola de pedidos nuevos</t>
        </is>
      </c>
      <c r="C4" s="21" t="inlineStr">
        <is>
          <t>Lo que el ERP consulta cada 10 minutos.</t>
        </is>
      </c>
      <c r="D4" s="23" t="inlineStr">
        <is>
          <t>curl -s -H "Authorization: Bearer $CK:$CS" \
  "$BASE_URL/api/v1/orders/on-hold?page=1&amp;perPage=10" | python3 -m json.tool</t>
        </is>
      </c>
    </row>
    <row r="5">
      <c r="A5" s="16" t="inlineStr">
        <is>
          <t>CP-01</t>
        </is>
      </c>
      <c r="B5" s="17" t="inlineStr">
        <is>
          <t>Tasa de cambio vigente (público)</t>
        </is>
      </c>
      <c r="C5" s="17" t="inlineStr">
        <is>
          <t>Para anotar la tasa antes de comprar.</t>
        </is>
      </c>
      <c r="D5" s="19" t="inlineStr">
        <is>
          <t>curl -s "$BASE_URL/exchange-rates/current" | python3 -m json.tool</t>
        </is>
      </c>
    </row>
    <row r="6">
      <c r="A6" s="20" t="inlineStr">
        <is>
          <t>CP-02</t>
        </is>
      </c>
      <c r="B6" s="21" t="inlineStr">
        <is>
          <t>Confirmar el pedido con la orden de compra</t>
        </is>
      </c>
      <c r="C6" s="21" t="inlineStr">
        <is>
          <t>Paso 2 del flujo del ERP.</t>
        </is>
      </c>
      <c r="D6" s="23" t="inlineStr">
        <is>
          <t>curl -s -X PUT -H "Authorization: Bearer $CK:$CS" \
  -H "Content-Type: application/json" \
  -d '{"status":"pending","order_key":"OC-PRUEBA-001"}' \
  "$BASE_URL/api/v1/orders/{{ORDER_ID}}" | python3 -m json.tool</t>
        </is>
      </c>
    </row>
    <row r="7">
      <c r="A7" s="16" t="inlineStr">
        <is>
          <t>CP-02</t>
        </is>
      </c>
      <c r="B7" s="17" t="inlineStr">
        <is>
          <t>Confirmar por el endpoint dedicado</t>
        </is>
      </c>
      <c r="C7" s="17" t="inlineStr">
        <is>
          <t>Camino alterno, mismo efecto.</t>
        </is>
      </c>
      <c r="D7" s="19" t="inlineStr">
        <is>
          <t>curl -s -X PUT -H "Authorization: Bearer $CK:$CS" \
  -H "Content-Type: application/json" \
  -d '{"order_key":"OC-PRUEBA-002"}' \
  "$BASE_URL/api/v1/orders/{{ORDER_ID}}/acknowledge" | python3 -m json.tool</t>
        </is>
      </c>
    </row>
    <row r="8">
      <c r="A8" s="20" t="inlineStr">
        <is>
          <t>CP-03</t>
        </is>
      </c>
      <c r="B8" s="21" t="inlineStr">
        <is>
          <t>Facturar el pedido</t>
        </is>
      </c>
      <c r="C8" s="21" t="inlineStr">
        <is>
          <t>Paso 3 del flujo. ⚠ Manda correo real al cliente.</t>
        </is>
      </c>
      <c r="D8" s="23" t="inlineStr">
        <is>
          <t>curl -s -X PUT -H "Authorization: Bearer $CK:$CS" \
  -H "Content-Type: application/json" \
  -d '{"status":"completed","order_key":"OC-PRUEBA-001 / FAC-0001","date_completed":"2026-08-01T15:30:00.000Z"}' \
  "$BASE_URL/api/v1/orders/{{ORDER_ID}}" | python3 -m json.tool</t>
        </is>
      </c>
    </row>
    <row r="9">
      <c r="A9" s="16" t="inlineStr">
        <is>
          <t>CP-04</t>
        </is>
      </c>
      <c r="B9" s="17" t="inlineStr">
        <is>
          <t>Anular el pedido</t>
        </is>
      </c>
      <c r="C9" s="17" t="inlineStr">
        <is>
          <t>Paso 4 del flujo. Devuelve el inventario.</t>
        </is>
      </c>
      <c r="D9" s="19" t="inlineStr">
        <is>
          <t>curl -s -X PUT -H "Authorization: Bearer $CK:$CS" \
  -H "Content-Type: application/json" \
  -d '{"status":"cancelled","date_completed":"2026-08-01T16:00:00.000Z"}' \
  "$BASE_URL/api/v1/orders/{{ORDER_ID}}" | python3 -m json.tool</t>
        </is>
      </c>
    </row>
    <row r="10">
      <c r="A10" s="20" t="inlineStr">
        <is>
          <t>CP-04</t>
        </is>
      </c>
      <c r="B10" s="21" t="inlineStr">
        <is>
          <t>Anular con la grafía de OrbisNet (una sola L)</t>
        </is>
      </c>
      <c r="C10" s="21" t="inlineStr">
        <is>
          <t>Se aceptan las dos escrituras.</t>
        </is>
      </c>
      <c r="D10" s="23" t="inlineStr">
        <is>
          <t>curl -s -X PUT -H "Authorization: Bearer $CK:$CS" \
  -H "Content-Type: application/json" \
  -d '{"status":"canceled","date_completed":"2026-08-01T16:05:00.000Z"}' \
  "$BASE_URL/api/v1/orders/{{ORDER_ID}}" | python3 -m json.tool</t>
        </is>
      </c>
    </row>
    <row r="11">
      <c r="A11" s="16" t="inlineStr">
        <is>
          <t>CP-04</t>
        </is>
      </c>
      <c r="B11" s="17" t="inlineStr">
        <is>
          <t>Ver el inventario de un producto</t>
        </is>
      </c>
      <c r="C11" s="17" t="inlineStr">
        <is>
          <t>Para comparar el stock antes y después de anular.</t>
        </is>
      </c>
      <c r="D11" s="19" t="inlineStr">
        <is>
          <t>curl -s -H "Authorization: Bearer $CK:$CS" \
  "$BASE_URL/api/v1/products/sku/{{SKU}}" \
  | python3 -c "import sys,json; p=json.load(sys.stdin); print(p['sku'], p['name'], 'stock:', p['inventory'])"</t>
        </is>
      </c>
    </row>
    <row r="12">
      <c r="A12" s="20" t="inlineStr">
        <is>
          <t>CP-05</t>
        </is>
      </c>
      <c r="B12" s="21" t="inlineStr">
        <is>
          <t>Consultar un pedido por id</t>
        </is>
      </c>
      <c r="C12" s="21" t="inlineStr">
        <is>
          <t>Devuelve el formato WooCommerce.</t>
        </is>
      </c>
      <c r="D12" s="23" t="inlineStr">
        <is>
          <t>curl -s -H "Authorization: Bearer $CK:$CS" \
  "$BASE_URL/api/v1/orders/{{ORDER_ID}}" | python3 -m json.tool</t>
        </is>
      </c>
    </row>
    <row r="13">
      <c r="A13" s="16" t="inlineStr">
        <is>
          <t>CP-05</t>
        </is>
      </c>
      <c r="B13" s="17" t="inlineStr">
        <is>
          <t>Consultar un pedido por UUID</t>
        </is>
      </c>
      <c r="C13" s="17" t="inlineStr">
        <is>
          <t>Misma respuesta que por id.</t>
        </is>
      </c>
      <c r="D13" s="19" t="inlineStr">
        <is>
          <t>curl -s -H "Authorization: Bearer $CK:$CS" \
  "$BASE_URL/api/v1/orders/{{ORDER_UUID}}" | python3 -m json.tool</t>
        </is>
      </c>
    </row>
    <row r="14">
      <c r="A14" s="20" t="inlineStr">
        <is>
          <t>CP-05</t>
        </is>
      </c>
      <c r="B14" s="21" t="inlineStr">
        <is>
          <t>Id inexistente y texto que no es id (deben dar 404)</t>
        </is>
      </c>
      <c r="C14" s="21" t="inlineStr">
        <is>
          <t>Nunca deben dar 500.</t>
        </is>
      </c>
      <c r="D14" s="23" t="inlineStr">
        <is>
          <t>curl -s -o /dev/null -w "%{http_code}\n" -H "Authorization: Bearer $CK:$CS" \
  "$BASE_URL/api/v1/orders/999999"
curl -s -o /dev/null -w "%{http_code}\n" -H "Authorization: Bearer $CK:$CS" \
  "$BASE_URL/api/v1/orders/abc"</t>
        </is>
      </c>
    </row>
    <row r="15">
      <c r="A15" s="16" t="inlineStr">
        <is>
          <t>CP-06</t>
        </is>
      </c>
      <c r="B15" s="17" t="inlineStr">
        <is>
          <t>Paginación con las cabeceras Link a la vista</t>
        </is>
      </c>
      <c r="C15" s="17" t="inlineStr">
        <is>
          <t>La opción -i muestra las cabeceras.</t>
        </is>
      </c>
      <c r="D15" s="19" t="inlineStr">
        <is>
          <t>curl -s -i -H "Authorization: Bearer $CK:$CS" \
  "$BASE_URL/api/v1/orders/on-hold?page=1&amp;perPage=2" | head -30</t>
        </is>
      </c>
    </row>
    <row r="16">
      <c r="A16" s="20" t="inlineStr">
        <is>
          <t>CP-07</t>
        </is>
      </c>
      <c r="B16" s="21" t="inlineStr">
        <is>
          <t>Comprobar que los montos cuadran, automático</t>
        </is>
      </c>
      <c r="C16" s="21" t="inlineStr">
        <is>
          <t>Suma las líneas y compara con el total del pedido.</t>
        </is>
      </c>
      <c r="D16" s="23" t="inlineStr">
        <is>
          <t>curl -s -H "Authorization: Bearer $CK:$CS" "$BASE_URL/api/v1/orders/{{ORDER_ID}}" \
  | python3 -c "
import sys, json
o = json.load(sys.stdin)
base = sum(float(i['total']) for i in o['line_items'])
iva  = sum(float(i['total_tax']) for i in o['line_items'])
print('base :', round(base, 2))
print('iva  :', round(iva, 2), ' total_tax del pedido:', o['total_tax'])
print('suma :', round(base + iva, 2), ' total del pedido:', o['total'])
print('CUADRA' if abs(base + iva - float(o['total'])) &lt; 0.005 else 'NO CUADRA')
print('alicuotas:', [i['tax_rate'] for i in o['line_items']])
"</t>
        </is>
      </c>
    </row>
    <row r="17">
      <c r="A17" s="16" t="inlineStr">
        <is>
          <t>CP-08</t>
        </is>
      </c>
      <c r="B17" s="17" t="inlineStr">
        <is>
          <t>Ver la tasa y los bolívares del pedido (público)</t>
        </is>
      </c>
      <c r="C17" s="17" t="inlineStr">
        <is>
          <t>El seguimiento sí trae la tasa; el formato ERP no.</t>
        </is>
      </c>
      <c r="D17" s="19" t="inlineStr">
        <is>
          <t>curl -s "$BASE_URL/orders/track/{{ORDER_NUMBER}}" | python3 -m json.tool</t>
        </is>
      </c>
    </row>
    <row r="18">
      <c r="A18" s="20" t="inlineStr">
        <is>
          <t>CP-09</t>
        </is>
      </c>
      <c r="B18" s="21" t="inlineStr">
        <is>
          <t>Comprobar los bolívares, automático</t>
        </is>
      </c>
      <c r="C18" s="21" t="inlineStr">
        <is>
          <t>Verifica que totalVes = subtotalVes + taxVes.</t>
        </is>
      </c>
      <c r="D18" s="23" t="inlineStr">
        <is>
          <t>curl -s "$BASE_URL/orders/track/{{ORDER_NUMBER}}" \
  | python3 -c "
import sys, json
t = json.load(sys.stdin)
f = lambda v: float(v) if v is not None else 0.0
print('tasa:', t['exchangeRate'], 'fecha de la tasa:', t['exchangeRateDate'])
print('USD :', t['subtotal'], '+', t['tax'], '=', t['total'])
print('Bs  :', t['subtotalVes'], '+', t['taxVes'], '=', t['totalVes'])
print('cuadra Bs:', abs(f(t['subtotalVes']) + f(t['taxVes']) - f(t['totalVes'])) &lt; 0.005)
print('suma renglones Bs:', round(sum(f(i['subtotalVes']) for i in t['items']), 2))
"</t>
        </is>
      </c>
    </row>
    <row r="19">
      <c r="A19" s="16" t="inlineStr">
        <is>
          <t>CP-11</t>
        </is>
      </c>
      <c r="B19" s="17" t="inlineStr">
        <is>
          <t>Previsualizar un pedido con cupón, sin comprar</t>
        </is>
      </c>
      <c r="C19" s="17" t="inlineStr">
        <is>
          <t>El único previsualizador válido.</t>
        </is>
      </c>
      <c r="D19" s="19" t="inlineStr">
        <is>
          <t>curl -s -X POST -H "Content-Type: application/json" \
  -d '{"items":[{"productUuid":"{{PRODUCT_UUID}}","quantity":2}],"discountCode":"PRUEBA10"}' \
  "$BASE_URL/orders/quote" | python3 -m json.tool</t>
        </is>
      </c>
    </row>
    <row r="20">
      <c r="A20" s="20" t="inlineStr">
        <is>
          <t>CP-13</t>
        </is>
      </c>
      <c r="B20" s="21" t="inlineStr">
        <is>
          <t>Sin llave (debe dar 401)</t>
        </is>
      </c>
      <c r="C20" s="21" t="inlineStr"/>
      <c r="D20" s="23" t="inlineStr">
        <is>
          <t>curl -s -o /dev/null -w "%{http_code}\n" "$BASE_URL/api/v1/orders/on-hold"</t>
        </is>
      </c>
    </row>
    <row r="21">
      <c r="A21" s="16" t="inlineStr">
        <is>
          <t>CP-14</t>
        </is>
      </c>
      <c r="B21" s="17" t="inlineStr">
        <is>
          <t>Llave inválida (debe dar 401)</t>
        </is>
      </c>
      <c r="C21" s="17" t="inlineStr"/>
      <c r="D21" s="19" t="inlineStr">
        <is>
          <t>curl -s -o /dev/null -w "%{http_code}\n" \
  -H "Authorization: Bearer ck_inventada:cs_inventado" \
  "$BASE_URL/api/v1/orders/on-hold"</t>
        </is>
      </c>
    </row>
    <row r="22">
      <c r="A22" s="20" t="inlineStr">
        <is>
          <t>CP-14</t>
        </is>
      </c>
      <c r="B22" s="21" t="inlineStr">
        <is>
          <t>Autenticación por cabeceras separadas (debe dar 200)</t>
        </is>
      </c>
      <c r="C22" s="21" t="inlineStr"/>
      <c r="D22" s="23" t="inlineStr">
        <is>
          <t>curl -s -o /dev/null -w "%{http_code}\n" \
  -H "x-consumer-key: $CK" -H "x-consumer-secret: $CS" \
  "$BASE_URL/api/v1/orders/on-hold"</t>
        </is>
      </c>
    </row>
    <row r="23">
      <c r="A23" s="16" t="inlineStr">
        <is>
          <t>CP-15</t>
        </is>
      </c>
      <c r="B23" s="17" t="inlineStr">
        <is>
          <t>Llave de solo lectura escribiendo (debe dar 403)</t>
        </is>
      </c>
      <c r="C23" s="17" t="inlineStr">
        <is>
          <t>Reemplazar CK_RO/CS_RO por la llave de solo lectura.</t>
        </is>
      </c>
      <c r="D23" s="19" t="inlineStr">
        <is>
          <t>curl -s -o /dev/null -w "%{http_code}\n" -X PUT \
  -H "Authorization: Bearer {{CK_RO}}:{{CS_RO}}" \
  -H "Content-Type: application/json" \
  -d '{"status":"pending","order_key":"OC-SOLO-LECTURA"}' \
  "$BASE_URL/api/v1/orders/{{ORDER_ID}}"</t>
        </is>
      </c>
    </row>
    <row r="24">
      <c r="A24" s="20" t="inlineStr">
        <is>
          <t>CP-16</t>
        </is>
      </c>
      <c r="B24" s="21" t="inlineStr">
        <is>
          <t>Confirmar sin order_key (debe dar 400)</t>
        </is>
      </c>
      <c r="C24" s="21" t="inlineStr"/>
      <c r="D24" s="23" t="inlineStr">
        <is>
          <t>curl -s -X PUT -H "Authorization: Bearer $CK:$CS" \
  -H "Content-Type: application/json" -d '{"status":"pending"}' \
  "$BASE_URL/api/v1/orders/{{ORDER_ID}}"</t>
        </is>
      </c>
    </row>
    <row r="25">
      <c r="A25" s="16" t="inlineStr">
        <is>
          <t>CP-17</t>
        </is>
      </c>
      <c r="B25" s="17" t="inlineStr">
        <is>
          <t>Facturar sin date_completed (debe dar 400)</t>
        </is>
      </c>
      <c r="C25" s="17" t="inlineStr"/>
      <c r="D25" s="19" t="inlineStr">
        <is>
          <t>curl -s -X PUT -H "Authorization: Bearer $CK:$CS" \
  -H "Content-Type: application/json" \
  -d '{"status":"completed","order_key":"FAC-0001"}' \
  "$BASE_URL/api/v1/orders/{{ORDER_ID}}"</t>
        </is>
      </c>
    </row>
    <row r="26">
      <c r="A26" s="20" t="inlineStr">
        <is>
          <t>CP-18</t>
        </is>
      </c>
      <c r="B26" s="21" t="inlineStr">
        <is>
          <t>Anular sin date_completed (debe dar 400)</t>
        </is>
      </c>
      <c r="C26" s="21" t="inlineStr"/>
      <c r="D26" s="23" t="inlineStr">
        <is>
          <t>curl -s -X PUT -H "Authorization: Bearer $CK:$CS" \
  -H "Content-Type: application/json" -d '{"status":"cancelled"}' \
  "$BASE_URL/api/v1/orders/{{ORDER_ID}}"</t>
        </is>
      </c>
    </row>
    <row r="27">
      <c r="A27" s="16" t="inlineStr">
        <is>
          <t>CP-19</t>
        </is>
      </c>
      <c r="B27" s="17" t="inlineStr">
        <is>
          <t>Pedido inexistente (debe dar 404)</t>
        </is>
      </c>
      <c r="C27" s="17" t="inlineStr"/>
      <c r="D27" s="19" t="inlineStr">
        <is>
          <t>curl -s -X PUT -H "Authorization: Bearer $CK:$CS" \
  -H "Content-Type: application/json" \
  -d '{"status":"pending","order_key":"OC-FANTASMA"}' \
  "$BASE_URL/api/v1/orders/999999"</t>
        </is>
      </c>
    </row>
    <row r="28">
      <c r="A28" s="20" t="inlineStr">
        <is>
          <t>CP-20</t>
        </is>
      </c>
      <c r="B28" s="21" t="inlineStr">
        <is>
          <t>Id no numérico y UUID en el PUT (deben dar 400)</t>
        </is>
      </c>
      <c r="C28" s="21" t="inlineStr">
        <is>
          <t>El GET sí acepta UUID; el PUT no.</t>
        </is>
      </c>
      <c r="D28" s="23" t="inlineStr">
        <is>
          <t>curl -s -o /dev/null -w "%{http_code}\n" -X PUT -H "Authorization: Bearer $CK:$CS" \
  -H "Content-Type: application/json" -d '{"status":"pending","order_key":"OC-X"}' \
  "$BASE_URL/api/v1/orders/abc"
curl -s -o /dev/null -w "%{http_code}\n" -X PUT -H "Authorization: Bearer $CK:$CS" \
  -H "Content-Type: application/json" -d '{"status":"pending","order_key":"OC-X"}' \
  "$BASE_URL/api/v1/orders/{{ORDER_UUID}}"</t>
        </is>
      </c>
    </row>
    <row r="29">
      <c r="A29" s="16" t="inlineStr">
        <is>
          <t>CP-21</t>
        </is>
      </c>
      <c r="B29" s="17" t="inlineStr">
        <is>
          <t>Doble confirmación: misma O/C y O/C distinta</t>
        </is>
      </c>
      <c r="C29" s="17" t="inlineStr">
        <is>
          <t>La primera repetición da 200; con otra O/C da 400.</t>
        </is>
      </c>
      <c r="D29" s="19" t="inlineStr">
        <is>
          <t>curl -s -o /dev/null -w "1a: %{http_code}\n" -X PUT -H "Authorization: Bearer $CK:$CS" \
  -H "Content-Type: application/json" -d '{"status":"pending","order_key":"OC-IDEM-01"}' \
  "$BASE_URL/api/v1/orders/{{ORDER_ID}}"
curl -s -o /dev/null -w "2a: %{http_code}\n" -X PUT -H "Authorization: Bearer $CK:$CS" \
  -H "Content-Type: application/json" -d '{"status":"pending","order_key":"OC-IDEM-01"}' \
  "$BASE_URL/api/v1/orders/{{ORDER_ID}}"
curl -s -o /dev/null -w "otra O/C: %{http_code}\n" -X PUT -H "Authorization: Bearer $CK:$CS" \
  -H "Content-Type: application/json" -d '{"status":"pending","order_key":"OC-IDEM-02"}' \
  "$BASE_URL/api/v1/orders/{{ORDER_ID}}"</t>
        </is>
      </c>
    </row>
    <row r="30">
      <c r="A30" s="20" t="inlineStr">
        <is>
          <t>CP-23</t>
        </is>
      </c>
      <c r="B30" s="21" t="inlineStr">
        <is>
          <t>Anular dos veces y mirar el stock entre medio</t>
        </is>
      </c>
      <c r="C30" s="21" t="inlineStr">
        <is>
          <t>El inventario debe volver una sola vez.</t>
        </is>
      </c>
      <c r="D30" s="23" t="inlineStr">
        <is>
          <t>curl -s -H "Authorization: Bearer $CK:$CS" "$BASE_URL/api/v1/products/sku/{{SKU}}" \
  | python3 -c "import sys,json; print('antes :', json.load(sys.stdin)['inventory'])"
curl -s -o /dev/null -X PUT -H "Authorization: Bearer $CK:$CS" -H "Content-Type: application/json" \
  -d '{"status":"cancelled","date_completed":"2026-08-01T17:25:00.000Z"}' \
  "$BASE_URL/api/v1/orders/{{ORDER_ID}}"
curl -s -H "Authorization: Bearer $CK:$CS" "$BASE_URL/api/v1/products/sku/{{SKU}}" \
  | python3 -c "import sys,json; print('1a anulacion:', json.load(sys.stdin)['inventory'])"
curl -s -o /dev/null -X PUT -H "Authorization: Bearer $CK:$CS" -H "Content-Type: application/json" \
  -d '{"status":"cancelled","date_completed":"2026-08-01T17:25:00.000Z"}' \
  "$BASE_URL/api/v1/orders/{{ORDER_ID}}"
curl -s -H "Authorization: Bearer $CK:$CS" "$BASE_URL/api/v1/products/sku/{{SKU}}" \
  | python3 -c "import sys,json; print('2a anulacion:', json.load(sys.stdin)['inventory'])"</t>
        </is>
      </c>
    </row>
    <row r="31">
      <c r="A31" s="16" t="inlineStr">
        <is>
          <t>CP-24</t>
        </is>
      </c>
      <c r="B31" s="17" t="inlineStr">
        <is>
          <t>Fechas mal escritas y fecha sin hora</t>
        </is>
      </c>
      <c r="C31" s="17" t="inlineStr">
        <is>
          <t>Las tres primeras dan 400; la cuarta se acepta.</t>
        </is>
      </c>
      <c r="D31" s="19" t="inlineStr">
        <is>
          <t>for F in "01/08/2026" "2026-13-45T10:00:00Z" "hoy" "2026-08-01"; do
  echo -n "$F -&gt; "
  curl -s -o /dev/null -w "%{http_code}\n" -X PUT -H "Authorization: Bearer $CK:$CS" \
    -H "Content-Type: application/json" \
    -d "{\"status\":\"cancelled\",\"date_completed\":\"$F\"}" \
    "$BASE_URL/api/v1/orders/{{ORDER_ID}}"
done</t>
        </is>
      </c>
    </row>
    <row r="32">
      <c r="A32" s="20" t="inlineStr">
        <is>
          <t>CP-25</t>
        </is>
      </c>
      <c r="B32" s="21" t="inlineStr">
        <is>
          <t>Estado inválido, cuerpo vacío y campo de más</t>
        </is>
      </c>
      <c r="C32" s="21" t="inlineStr">
        <is>
          <t>Los tres deben dar 400.</t>
        </is>
      </c>
      <c r="D32" s="23" t="inlineStr">
        <is>
          <t>curl -s -X PUT -H "Authorization: Bearer $CK:$CS" -H "Content-Type: application/json" \
  -d '{"status":"shipped","order_key":"X"}' "$BASE_URL/api/v1/orders/{{ORDER_ID}}"
curl -s -X PUT -H "Authorization: Bearer $CK:$CS" -H "Content-Type: application/json" \
  -d '{}' "$BASE_URL/api/v1/orders/{{ORDER_ID}}"
curl -s -X PUT -H "Authorization: Bearer $CK:$CS" -H "Content-Type: application/json" \
  -d '{"status":"pending","order_key":"OC-1","customer_note":"algo"}' \
  "$BASE_URL/api/v1/orders/{{ORDER_ID}}"</t>
        </is>
      </c>
    </row>
    <row r="33">
      <c r="A33" s="16" t="inlineStr">
        <is>
          <t>CP-26</t>
        </is>
      </c>
      <c r="B33" s="17" t="inlineStr">
        <is>
          <t>Paginación abusiva: perPage enorme, cero y página negativa</t>
        </is>
      </c>
      <c r="C33" s="17" t="inlineStr">
        <is>
          <t>Anotar el código y el tiempo de cada una.</t>
        </is>
      </c>
      <c r="D33" s="19" t="inlineStr">
        <is>
          <t>curl -s -o /dev/null -w "perPage=100000 -&gt; %{http_code} en %{time_total}s\n" \
  -H "Authorization: Bearer $CK:$CS" "$BASE_URL/api/v1/orders/on-hold?perPage=100000"
curl -s -o /dev/null -w "perPage=abc -&gt; %{http_code}\n" \
  -H "Authorization: Bearer $CK:$CS" "$BASE_URL/api/v1/orders/on-hold?perPage=abc"
curl -s -w "\nperPage=0 -&gt; %{http_code}\n" \
  -H "Authorization: Bearer $CK:$CS" "$BASE_URL/api/v1/orders/on-hold?perPage=0" | head -5
curl -s -o /dev/null -w "page=0 -&gt; %{http_code}\n" \
  -H "Authorization: Bearer $CK:$CS" "$BASE_URL/api/v1/orders/on-hold?page=0&amp;perPage=10"
curl -s -o /dev/null -w "page=-1 -&gt; %{http_code}\n" \
  -H "Authorization: Bearer $CK:$CS" "$BASE_URL/api/v1/orders/on-hold?page=-1&amp;perPage=10"</t>
        </is>
      </c>
    </row>
    <row r="34">
      <c r="A34" s="20" t="inlineStr">
        <is>
          <t>CP-27</t>
        </is>
      </c>
      <c r="B34" s="21" t="inlineStr">
        <is>
          <t>Listado general (el que el ERP NO debe usar)</t>
        </is>
      </c>
      <c r="C34" s="21" t="inlineStr">
        <is>
          <t>Devuelve el pedido crudo con datos personales.</t>
        </is>
      </c>
      <c r="D34" s="23" t="inlineStr">
        <is>
          <t>curl -s -o /dev/null -w "%{http_code} en %{time_total}s\n" \
  -H "Authorization: Bearer $CK:$CS" "$BASE_URL/api/v1/orders?page=1&amp;perPage=5"</t>
        </is>
      </c>
    </row>
    <row r="35">
      <c r="A35" s="16" t="inlineStr">
        <is>
          <t>Cierre</t>
        </is>
      </c>
      <c r="B35" s="17" t="inlineStr">
        <is>
          <t>Comprobaciones en base de datos</t>
        </is>
      </c>
      <c r="C35" s="17" t="inlineStr">
        <is>
          <t>Con &lt;N&gt; = id del pedido de prueba.</t>
        </is>
      </c>
      <c r="D35" s="19" t="inlineStr">
        <is>
          <t>-- Los montos cuadran
SELECT subtotal, tax, total, subtotal + tax = total AS cuadra,
       subtotal_ves, tax_ves, total_ves,
       subtotal_ves + tax_ves = total_ves AS cuadra_ves,
       exchange_rate, exchange_rate_date
  FROM orders WHERE id = &lt;N&gt;;
-- Los renglones y su desglose congelado
SELECT product_name, quantity, price, subtotal, base, iva,
       base + iva = subtotal AS cuadra_renglon
  FROM order_items WHERE order_id = &lt;N&gt;;
-- Referencias del ERP
SELECT order_number, status, order_key, purchase_order_key, date_completed
  FROM orders WHERE id = &lt;N&gt;;</t>
        </is>
      </c>
    </row>
  </sheetData>
  <autoFilter ref="A1:D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78" customWidth="1" min="3" max="3"/>
    <col width="14" customWidth="1" min="4" max="4"/>
    <col width="20" customWidth="1" min="5" max="5"/>
    <col width="16" customWidth="1" min="6" max="6"/>
    <col width="44" customWidth="1" min="7" max="7"/>
  </cols>
  <sheetData>
    <row r="1" ht="30" customHeight="1">
      <c r="A1" s="9" t="inlineStr">
        <is>
          <t>ID</t>
        </is>
      </c>
      <c r="B1" s="9" t="inlineStr">
        <is>
          <t>Caso relacionado</t>
        </is>
      </c>
      <c r="C1" s="9" t="inlineStr">
        <is>
          <t>Qué pasó</t>
        </is>
      </c>
      <c r="D1" s="9" t="inlineStr">
        <is>
          <t>Severidad</t>
        </is>
      </c>
      <c r="E1" s="9" t="inlineStr">
        <is>
          <t>Responsable</t>
        </is>
      </c>
      <c r="F1" s="9" t="inlineStr">
        <is>
          <t>Estado</t>
        </is>
      </c>
      <c r="G1" s="9" t="inlineStr">
        <is>
          <t>Acordado en la reunión</t>
        </is>
      </c>
    </row>
    <row r="2">
      <c r="A2" s="16" t="inlineStr">
        <is>
          <t>H-01</t>
        </is>
      </c>
      <c r="B2" s="18" t="inlineStr">
        <is>
          <t>CP-11</t>
        </is>
      </c>
      <c r="C2" s="17" t="inlineStr">
        <is>
          <t>El pedido que recibe el ERP no tiene ningún campo de descuento. Cuando el cliente usa un cupón, las líneas llegan ya rebajadas (el descuento se reparte proporcionalmente) y OrbisNet no puede saber que hubo cupón ni cuánto fue. Confirmar si su facturación lo necesita.</t>
        </is>
      </c>
      <c r="D2" s="18" t="inlineStr">
        <is>
          <t>Alta</t>
        </is>
      </c>
      <c r="E2" s="17" t="inlineStr"/>
      <c r="F2" s="18" t="inlineStr">
        <is>
          <t>Abierto</t>
        </is>
      </c>
      <c r="G2" s="17" t="inlineStr"/>
    </row>
    <row r="3">
      <c r="A3" s="20" t="inlineStr">
        <is>
          <t>H-02</t>
        </is>
      </c>
      <c r="B3" s="22" t="inlineStr">
        <is>
          <t>CP-08 / CP-09</t>
        </is>
      </c>
      <c r="C3" s="21" t="inlineStr">
        <is>
          <t>El pedido que recibe el ERP viene sólo en dólares: no trae la tasa de cambio ni los montos en bolívares, aunque el pedido sí los tiene guardados. Si OrbisNet factura en bolívares con su propia tasa, va a facturar un monto distinto al que la tienda le mostró al cliente.</t>
        </is>
      </c>
      <c r="D3" s="22" t="inlineStr">
        <is>
          <t>Alta</t>
        </is>
      </c>
      <c r="E3" s="21" t="inlineStr"/>
      <c r="F3" s="22" t="inlineStr">
        <is>
          <t>Abierto</t>
        </is>
      </c>
      <c r="G3" s="21" t="inlineStr"/>
    </row>
    <row r="4">
      <c r="A4" s="16" t="inlineStr">
        <is>
          <t>H-03</t>
        </is>
      </c>
      <c r="B4" s="18" t="inlineStr">
        <is>
          <t>CP-05 / CP-20</t>
        </is>
      </c>
      <c r="C4" s="17" t="inlineStr">
        <is>
          <t>Asimetría del contrato: GET /api/v1/orders/:id acepta el id numérico o el UUID, pero PUT sólo acepta el id numérico (con UUID responde 400). Además el UUID no aparece en ningún campo de la respuesta, así que el ERP no puede descubrirlo por su cuenta.</t>
        </is>
      </c>
      <c r="D4" s="18" t="inlineStr">
        <is>
          <t>Baja</t>
        </is>
      </c>
      <c r="E4" s="17" t="inlineStr"/>
      <c r="F4" s="18" t="inlineStr">
        <is>
          <t>Abierto</t>
        </is>
      </c>
      <c r="G4" s="17" t="inlineStr"/>
    </row>
    <row r="5">
      <c r="A5" s="20" t="inlineStr">
        <is>
          <t>H-04</t>
        </is>
      </c>
      <c r="B5" s="22" t="inlineStr">
        <is>
          <t>CP-26</t>
        </is>
      </c>
      <c r="C5" s="21" t="inlineStr">
        <is>
          <t>El parámetro perPage no tiene tope: perPage=100000 devuelve todos los pedidos en on-hold en una sola consulta. Un ERP mal configurado puede degradar el servidor sin querer.</t>
        </is>
      </c>
      <c r="D5" s="22" t="inlineStr">
        <is>
          <t>Media</t>
        </is>
      </c>
      <c r="E5" s="21" t="inlineStr"/>
      <c r="F5" s="22" t="inlineStr">
        <is>
          <t>Abierto</t>
        </is>
      </c>
      <c r="G5" s="21" t="inlineStr"/>
    </row>
    <row r="6">
      <c r="A6" s="16" t="inlineStr">
        <is>
          <t>H-05</t>
        </is>
      </c>
      <c r="B6" s="18" t="inlineStr">
        <is>
          <t>CP-26</t>
        </is>
      </c>
      <c r="C6" s="17" t="inlineStr">
        <is>
          <t>page y perPage no validan mínimo. Con perPage=0 el límite queda en cero (puede devolver TODO y un lastPage infinito) y con page=0 o negativa el salto queda negativo, lo que Postgres rechaza y podría subir como 500. ⚠ Verificar en vivo y anotar el comportamiento real.</t>
        </is>
      </c>
      <c r="D6" s="18" t="inlineStr">
        <is>
          <t>Media</t>
        </is>
      </c>
      <c r="E6" s="17" t="inlineStr"/>
      <c r="F6" s="18" t="inlineStr">
        <is>
          <t>Abierto</t>
        </is>
      </c>
      <c r="G6" s="17" t="inlineStr"/>
    </row>
    <row r="7">
      <c r="A7" s="20" t="inlineStr">
        <is>
          <t>H-06</t>
        </is>
      </c>
      <c r="B7" s="22" t="inlineStr">
        <is>
          <t>CP-15</t>
        </is>
      </c>
      <c r="C7" s="21" t="inlineStr">
        <is>
          <t>Los permisos de las llaves no son jerárquicos: una llave de 'escritura' NO puede leer. La llave que use OrbisNet tiene que ser de 'lectura y escritura' o la mitad del flujo falla con 403.</t>
        </is>
      </c>
      <c r="D7" s="22" t="inlineStr">
        <is>
          <t>Media</t>
        </is>
      </c>
      <c r="E7" s="21" t="inlineStr"/>
      <c r="F7" s="22" t="inlineStr">
        <is>
          <t>Abierto</t>
        </is>
      </c>
      <c r="G7" s="21" t="inlineStr"/>
    </row>
    <row r="8">
      <c r="A8" s="16" t="inlineStr">
        <is>
          <t>H-07</t>
        </is>
      </c>
      <c r="B8" s="18" t="inlineStr">
        <is>
          <t>CP-04</t>
        </is>
      </c>
      <c r="C8" s="17" t="inlineStr">
        <is>
          <t>El guion anterior (docs/guion-pruebas-produccion.md, paso C5) dice que al anular se envían correos al cliente y al administrador. El código no envía ninguno: las anulaciones se atienden por WhatsApp. Hay que corregir el guion para no crear una expectativa falsa en la prueba.</t>
        </is>
      </c>
      <c r="D8" s="18" t="inlineStr">
        <is>
          <t>Baja</t>
        </is>
      </c>
      <c r="E8" s="17" t="inlineStr"/>
      <c r="F8" s="18" t="inlineStr">
        <is>
          <t>Abierto</t>
        </is>
      </c>
      <c r="G8" s="17" t="inlineStr"/>
    </row>
    <row r="9">
      <c r="A9" s="20" t="inlineStr">
        <is>
          <t>H-08</t>
        </is>
      </c>
      <c r="B9" s="22" t="inlineStr">
        <is>
          <t>CP-24</t>
        </is>
      </c>
      <c r="C9" s="21" t="inlineStr">
        <is>
          <t>La fecha date_completed se valida como ISO 8601 pero no en su contenido: se acepta '2026-08-01' (sin hora, se guarda como medianoche UTC = 8:00 pm del día anterior en Venezuela) y también fechas del futuro lejano. ⚠ Verificar cómo se muestran en el panel.</t>
        </is>
      </c>
      <c r="D9" s="22" t="inlineStr">
        <is>
          <t>Baja</t>
        </is>
      </c>
      <c r="E9" s="21" t="inlineStr"/>
      <c r="F9" s="22" t="inlineStr">
        <is>
          <t>Abierto</t>
        </is>
      </c>
      <c r="G9" s="21" t="inlineStr"/>
    </row>
    <row r="10">
      <c r="A10" s="16" t="inlineStr">
        <is>
          <t>H-09</t>
        </is>
      </c>
      <c r="B10" s="18" t="inlineStr">
        <is>
          <t>CP-14</t>
        </is>
      </c>
      <c r="C10" s="17" t="inlineStr">
        <is>
          <t>El guard acepta las credenciales también como parámetros de la URL (?consumer_key=…&amp;consumer_secret=…), lo que deja la llave y el secreto escritos en los registros del servidor y en el historial de peticiones. Acordar con el integrador que use sólo la cabecera.</t>
        </is>
      </c>
      <c r="D10" s="18" t="inlineStr">
        <is>
          <t>Media</t>
        </is>
      </c>
      <c r="E10" s="17" t="inlineStr"/>
      <c r="F10" s="18" t="inlineStr">
        <is>
          <t>Abierto</t>
        </is>
      </c>
      <c r="G10" s="17" t="inlineStr"/>
    </row>
    <row r="11">
      <c r="A11" s="20" t="inlineStr">
        <is>
          <t>H-10</t>
        </is>
      </c>
      <c r="B11" s="22" t="inlineStr">
        <is>
          <t>CP-27</t>
        </is>
      </c>
      <c r="C11" s="21" t="inlineStr">
        <is>
          <t>GET /api/v1/orders (listado general) devuelve el pedido crudo — con cédula, dirección, correo, teléfono y datos del pago — a cualquier llave de solo lectura, y pagina en memoria después de traer TODOS los pedidos de la base. Ya estaba anotado en el guion anterior; sigue abierto.</t>
        </is>
      </c>
      <c r="D11" s="22" t="inlineStr">
        <is>
          <t>Media</t>
        </is>
      </c>
      <c r="E11" s="21" t="inlineStr"/>
      <c r="F11" s="22" t="inlineStr">
        <is>
          <t>Abierto</t>
        </is>
      </c>
      <c r="G11" s="21" t="inlineStr"/>
    </row>
    <row r="12">
      <c r="A12" s="16" t="inlineStr">
        <is>
          <t>H-11</t>
        </is>
      </c>
      <c r="B12" s="18" t="inlineStr">
        <is>
          <t>CP-09</t>
        </is>
      </c>
      <c r="C12" s="17" t="inlineStr">
        <is>
          <t>Las columnas de montos en bolívares topan en Bs 99.999.999,99 (unos USD 207.800 a la tasa actual, y el techo baja cada vez que sube la tasa). Un pedido por encima de eso falla al guardar y deja filas huérfanas (dirección, ficha de invitado, datos de pago) sin pedido que las use.</t>
        </is>
      </c>
      <c r="D12" s="18" t="inlineStr">
        <is>
          <t>Baja</t>
        </is>
      </c>
      <c r="E12" s="17" t="inlineStr"/>
      <c r="F12" s="18" t="inlineStr">
        <is>
          <t>Abierto</t>
        </is>
      </c>
      <c r="G12" s="17" t="inlineStr"/>
    </row>
    <row r="13">
      <c r="A13" s="20" t="inlineStr">
        <is>
          <t>H-12</t>
        </is>
      </c>
      <c r="B13" s="22" t="inlineStr">
        <is>
          <t>CP-01</t>
        </is>
      </c>
      <c r="C13" s="21" t="inlineStr">
        <is>
          <t>La cola de on-hold sólo devuelve pedidos que tengan al menos un renglón (usa un cruce obligatorio con los ítems). Un pedido sin renglones existiría en la base y el ERP nunca lo vería. Hoy no debería ocurrir, pero no hay nada que lo impida.</t>
        </is>
      </c>
      <c r="D13" s="22" t="inlineStr">
        <is>
          <t>Baja</t>
        </is>
      </c>
      <c r="E13" s="21" t="inlineStr"/>
      <c r="F13" s="22" t="inlineStr">
        <is>
          <t>Abierto</t>
        </is>
      </c>
      <c r="G13" s="21" t="inlineStr"/>
    </row>
    <row r="14">
      <c r="A14" s="16" t="inlineStr">
        <is>
          <t>H-13</t>
        </is>
      </c>
      <c r="B14" s="18" t="inlineStr">
        <is>
          <t>CP-12</t>
        </is>
      </c>
      <c r="C14" s="17" t="inlineStr">
        <is>
          <t>La igualdad 'suma de líneas + suma de IVA = total' sólo se cumple mientras el envío sea 0, que es el valor fijo de hoy. Cuando se implemente el cobro de envío, el contrato del ERP va a necesitar un campo de envío aparte (shipping_total, como en WooCommerce) o el ERP facturará de menos.</t>
        </is>
      </c>
      <c r="D14" s="18" t="inlineStr">
        <is>
          <t>Media</t>
        </is>
      </c>
      <c r="E14" s="17" t="inlineStr"/>
      <c r="F14" s="18" t="inlineStr">
        <is>
          <t>Abierto</t>
        </is>
      </c>
      <c r="G14" s="17" t="inlineStr"/>
    </row>
    <row r="15">
      <c r="A15" s="20" t="inlineStr">
        <is>
          <t>H-14</t>
        </is>
      </c>
      <c r="B15" s="22" t="inlineStr">
        <is>
          <t>CP-21</t>
        </is>
      </c>
      <c r="C15" s="21" t="inlineStr">
        <is>
          <t>Confirmar (status=pending) un pedido que ya fue facturado, con la misma O/C, responde 200 y deja el pedido en 'completed'. Si OrbisNet interpreta ese 200 como 'quedó en pendiente', queda desincronizado. Acordar con el integrador que lea el status de la respuesta, no sólo el código HTTP.</t>
        </is>
      </c>
      <c r="D15" s="22" t="inlineStr">
        <is>
          <t>Media</t>
        </is>
      </c>
      <c r="E15" s="21" t="inlineStr"/>
      <c r="F15" s="22" t="inlineStr">
        <is>
          <t>Abierto</t>
        </is>
      </c>
      <c r="G15" s="21" t="inlineStr"/>
    </row>
    <row r="16">
      <c r="A16" s="16" t="inlineStr">
        <is>
          <t>H-15</t>
        </is>
      </c>
      <c r="B16" s="18" t="inlineStr">
        <is>
          <t>CP-02 / CP-03</t>
        </is>
      </c>
      <c r="C16" s="17" t="inlineStr">
        <is>
          <t>order_key no tiene restricción de unicidad: dos pedidos distintos pueden quedar con la misma orden de compra o el mismo número de factura sin que el sistema avise.</t>
        </is>
      </c>
      <c r="D16" s="18" t="inlineStr">
        <is>
          <t>Baja</t>
        </is>
      </c>
      <c r="E16" s="17" t="inlineStr"/>
      <c r="F16" s="18" t="inlineStr">
        <is>
          <t>Abierto</t>
        </is>
      </c>
      <c r="G16" s="17" t="inlineStr"/>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11" t="inlineStr"/>
      <c r="B27" s="11" t="inlineStr"/>
      <c r="C27" s="11" t="inlineStr"/>
      <c r="D27" s="11" t="inlineStr"/>
      <c r="E27" s="11" t="inlineStr"/>
      <c r="F27" s="11" t="inlineStr"/>
      <c r="G27" s="11" t="inlineStr"/>
    </row>
    <row r="28">
      <c r="A28" s="11" t="inlineStr"/>
      <c r="B28" s="11" t="inlineStr"/>
      <c r="C28" s="11" t="inlineStr"/>
      <c r="D28" s="11" t="inlineStr"/>
      <c r="E28" s="11" t="inlineStr"/>
      <c r="F28" s="11" t="inlineStr"/>
      <c r="G28" s="11" t="inlineStr"/>
    </row>
    <row r="29">
      <c r="A29" s="11" t="inlineStr"/>
      <c r="B29" s="11" t="inlineStr"/>
      <c r="C29" s="11" t="inlineStr"/>
      <c r="D29" s="11" t="inlineStr"/>
      <c r="E29" s="11" t="inlineStr"/>
      <c r="F29" s="11" t="inlineStr"/>
      <c r="G29" s="11" t="inlineStr"/>
    </row>
    <row r="30">
      <c r="A30" s="11" t="inlineStr"/>
      <c r="B30" s="11" t="inlineStr"/>
      <c r="C30" s="11" t="inlineStr"/>
      <c r="D30" s="11" t="inlineStr"/>
      <c r="E30" s="11" t="inlineStr"/>
      <c r="F30" s="11" t="inlineStr"/>
      <c r="G30" s="11" t="inlineStr"/>
    </row>
    <row r="31">
      <c r="A31" s="11" t="inlineStr"/>
      <c r="B31" s="11" t="inlineStr"/>
      <c r="C31" s="11" t="inlineStr"/>
      <c r="D31" s="11" t="inlineStr"/>
      <c r="E31" s="11" t="inlineStr"/>
      <c r="F31" s="11" t="inlineStr"/>
      <c r="G31" s="11" t="inlineStr"/>
    </row>
    <row r="32">
      <c r="A32" s="11" t="inlineStr"/>
      <c r="B32" s="11" t="inlineStr"/>
      <c r="C32" s="11" t="inlineStr"/>
      <c r="D32" s="11" t="inlineStr"/>
      <c r="E32" s="11" t="inlineStr"/>
      <c r="F32" s="11" t="inlineStr"/>
      <c r="G32" s="11" t="inlineStr"/>
    </row>
    <row r="33">
      <c r="A33" s="11" t="inlineStr"/>
      <c r="B33" s="11" t="inlineStr"/>
      <c r="C33" s="11" t="inlineStr"/>
      <c r="D33" s="11" t="inlineStr"/>
      <c r="E33" s="11" t="inlineStr"/>
      <c r="F33" s="11" t="inlineStr"/>
      <c r="G33" s="11" t="inlineStr"/>
    </row>
    <row r="34">
      <c r="A34" s="11" t="inlineStr"/>
      <c r="B34" s="11" t="inlineStr"/>
      <c r="C34" s="11" t="inlineStr"/>
      <c r="D34" s="11" t="inlineStr"/>
      <c r="E34" s="11" t="inlineStr"/>
      <c r="F34" s="11" t="inlineStr"/>
      <c r="G34" s="11" t="inlineStr"/>
    </row>
    <row r="35">
      <c r="A35" s="11" t="inlineStr"/>
      <c r="B35" s="11" t="inlineStr"/>
      <c r="C35" s="11" t="inlineStr"/>
      <c r="D35" s="11" t="inlineStr"/>
      <c r="E35" s="11" t="inlineStr"/>
      <c r="F35" s="11" t="inlineStr"/>
      <c r="G35" s="11" t="inlineStr"/>
    </row>
    <row r="36">
      <c r="A36" s="11" t="inlineStr"/>
      <c r="B36" s="11" t="inlineStr"/>
      <c r="C36" s="11" t="inlineStr"/>
      <c r="D36" s="11" t="inlineStr"/>
      <c r="E36" s="11" t="inlineStr"/>
      <c r="F36" s="11" t="inlineStr"/>
      <c r="G36" s="11" t="inlineStr"/>
    </row>
  </sheetData>
  <autoFilter ref="A1:G36"/>
  <conditionalFormatting sqref="D2:D36">
    <cfRule type="cellIs" priority="1" operator="equal" dxfId="1">
      <formula>"Bloqueante"</formula>
    </cfRule>
    <cfRule type="cellIs" priority="2" operator="equal" dxfId="2">
      <formula>"Alta"</formula>
    </cfRule>
  </conditionalFormatting>
  <conditionalFormatting sqref="F2:F36">
    <cfRule type="cellIs" priority="3" operator="equal" dxfId="0">
      <formula>"Resuelto"</formula>
    </cfRule>
  </conditionalFormatting>
  <dataValidations count="2">
    <dataValidation sqref="D2:D36" showDropDown="0" showInputMessage="0" showErrorMessage="1" allowBlank="1" type="list">
      <formula1>"Bloqueante,Alta,Media,Baja"</formula1>
    </dataValidation>
    <dataValidation sqref="F2:F36" showDropDown="0" showInputMessage="0" showErrorMessage="1" allowBlank="1" type="list">
      <formula1>"Abierto,En revisión,Resuelto,Descartado"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56"/>
  <sheetViews>
    <sheetView showGridLines="0" workbookViewId="0">
      <pane ySplit="1" topLeftCell="A2" activePane="bottomLeft" state="frozen"/>
      <selection pane="bottomLeft" activeCell="A1" sqref="A1"/>
    </sheetView>
  </sheetViews>
  <sheetFormatPr baseColWidth="8" defaultRowHeight="15"/>
  <cols>
    <col width="3" customWidth="1" min="1" max="1"/>
    <col width="40" customWidth="1" min="2" max="2"/>
    <col width="14" customWidth="1" min="3" max="3"/>
    <col width="14" customWidth="1" min="4" max="4"/>
    <col width="14" customWidth="1" min="5" max="5"/>
    <col width="14" customWidth="1" min="6" max="6"/>
    <col width="14" customWidth="1" min="7" max="7"/>
  </cols>
  <sheetData>
    <row r="2">
      <c r="B2" s="1" t="inlineStr">
        <is>
          <t>Resumen de la sesión</t>
        </is>
      </c>
    </row>
    <row r="3">
      <c r="B3" s="2" t="inlineStr">
        <is>
          <t>Se llena solo a partir de la hoja «Casos de prueba». No escribir nada aquí.</t>
        </is>
      </c>
    </row>
    <row r="5">
      <c r="B5" s="24" t="inlineStr">
        <is>
          <t>Casos de prueba</t>
        </is>
      </c>
      <c r="C5" s="25">
        <f>27</f>
        <v/>
      </c>
    </row>
    <row r="6">
      <c r="B6" s="24" t="inlineStr">
        <is>
          <t>Pasos en total</t>
        </is>
      </c>
      <c r="C6" s="25">
        <f>COUNTA('Casos de prueba'!$A$2:$A$136)</f>
        <v/>
      </c>
    </row>
    <row r="7">
      <c r="B7" s="24" t="inlineStr">
        <is>
          <t>Pasos marcados OK</t>
        </is>
      </c>
      <c r="C7" s="26">
        <f>COUNTIF('Casos de prueba'!$H$2:$H$136,"X")</f>
        <v/>
      </c>
    </row>
    <row r="8">
      <c r="B8" s="24" t="inlineStr">
        <is>
          <t>Pasos marcados con falla</t>
        </is>
      </c>
      <c r="C8" s="27">
        <f>COUNTIF('Casos de prueba'!$I$2:$I$136,"X")</f>
        <v/>
      </c>
    </row>
    <row r="9">
      <c r="B9" s="24" t="inlineStr">
        <is>
          <t>Pasos sin probar</t>
        </is>
      </c>
      <c r="C9" s="25">
        <f>COUNTA('Casos de prueba'!$A$2:$A$136)-COUNTIF('Casos de prueba'!$H$2:$H$136,"X")-COUNTIF('Casos de prueba'!$I$2:$I$136,"X")+SUMPRODUCT(--('Casos de prueba'!$H$2:$H$136="X"),--('Casos de prueba'!$I$2:$I$136="X"))</f>
        <v/>
      </c>
    </row>
    <row r="10">
      <c r="B10" s="24" t="inlineStr">
        <is>
          <t>Pasos marcados en las dos casillas (revisar)</t>
        </is>
      </c>
      <c r="C10" s="25">
        <f>SUMPRODUCT(--('Casos de prueba'!$H$2:$H$136="X"),--('Casos de prueba'!$I$2:$I$136="X"))</f>
        <v/>
      </c>
    </row>
    <row r="12">
      <c r="B12" s="24" t="inlineStr">
        <is>
          <t>Avance (pasos probados sobre el total)</t>
        </is>
      </c>
      <c r="C12" s="28">
        <f>IF(COUNTA('Casos de prueba'!$A$2:$A$136)=0,0,(COUNTIF('Casos de prueba'!$H$2:$H$136,"X")+COUNTIF('Casos de prueba'!$I$2:$I$136,"X"))/COUNTA('Casos de prueba'!$A$2:$A$136))</f>
        <v/>
      </c>
    </row>
    <row r="13">
      <c r="B13" s="24" t="inlineStr">
        <is>
          <t>Éxito (OK sobre lo que ya se probó)</t>
        </is>
      </c>
      <c r="C13" s="28">
        <f>IF((COUNTIF('Casos de prueba'!$H$2:$H$136,"X")+COUNTIF('Casos de prueba'!$I$2:$I$136,"X"))=0,0,COUNTIF('Casos de prueba'!$H$2:$H$136,"X")/(COUNTIF('Casos de prueba'!$H$2:$H$136,"X")+COUNTIF('Casos de prueba'!$I$2:$I$136,"X")))</f>
        <v/>
      </c>
    </row>
    <row r="15">
      <c r="B15" s="3" t="inlineStr">
        <is>
          <t>Hallazgos anotados</t>
        </is>
      </c>
    </row>
    <row r="16">
      <c r="B16" s="24" t="inlineStr">
        <is>
          <t>Hallazgos registrados</t>
        </is>
      </c>
      <c r="C16" s="29">
        <f>COUNTA(Hallazgos!$A$2:$A$36)</f>
        <v/>
      </c>
    </row>
    <row r="17">
      <c r="B17" s="24" t="inlineStr">
        <is>
          <t>Bloqueantes</t>
        </is>
      </c>
      <c r="C17" s="29">
        <f>COUNTIF(Hallazgos!$D$2:$D$36,"Bloqueante")</f>
        <v/>
      </c>
    </row>
    <row r="18">
      <c r="B18" s="24" t="inlineStr">
        <is>
          <t>Severidad alta</t>
        </is>
      </c>
      <c r="C18" s="29">
        <f>COUNTIF(Hallazgos!$D$2:$D$36,"Alta")</f>
        <v/>
      </c>
    </row>
    <row r="19">
      <c r="B19" s="24" t="inlineStr">
        <is>
          <t>Resueltos</t>
        </is>
      </c>
      <c r="C19" s="29">
        <f>COUNTIF(Hallazgos!$F$2:$F$36,"Resuelto")</f>
        <v/>
      </c>
    </row>
    <row r="20">
      <c r="B20" s="24" t="inlineStr">
        <is>
          <t>Abiertos</t>
        </is>
      </c>
      <c r="C20" s="29">
        <f>COUNTIF(Hallazgos!$F$2:$F$36,"Abierto")</f>
        <v/>
      </c>
    </row>
    <row r="22">
      <c r="B22" s="3" t="inlineStr">
        <is>
          <t>Por bloque</t>
        </is>
      </c>
    </row>
    <row r="23">
      <c r="A23" s="9" t="inlineStr"/>
      <c r="B23" s="9" t="inlineStr">
        <is>
          <t>Bloque</t>
        </is>
      </c>
      <c r="C23" s="9" t="inlineStr">
        <is>
          <t>Pasos</t>
        </is>
      </c>
      <c r="D23" s="9" t="inlineStr">
        <is>
          <t>OK</t>
        </is>
      </c>
      <c r="E23" s="9" t="inlineStr">
        <is>
          <t>Fallas</t>
        </is>
      </c>
      <c r="F23" s="9" t="inlineStr">
        <is>
          <t>Sin probar</t>
        </is>
      </c>
      <c r="G23" s="9" t="inlineStr">
        <is>
          <t>Avance</t>
        </is>
      </c>
    </row>
    <row r="24">
      <c r="B24" s="24" t="inlineStr">
        <is>
          <t>A. Camino feliz</t>
        </is>
      </c>
      <c r="C24" s="29">
        <f>36</f>
        <v/>
      </c>
      <c r="D24" s="29">
        <f>COUNTIF('Casos de prueba'!$H$2:$H$37,"X")</f>
        <v/>
      </c>
      <c r="E24" s="29">
        <f>COUNTIF('Casos de prueba'!$I$2:$I$37,"X")</f>
        <v/>
      </c>
      <c r="F24" s="29">
        <f>C24-D24-E24</f>
        <v/>
      </c>
      <c r="G24" s="30">
        <f>IF(C24=0,0,(D24+E24)/C24)</f>
        <v/>
      </c>
    </row>
    <row r="25">
      <c r="B25" s="24" t="inlineStr">
        <is>
          <t>B. Verificación de montos</t>
        </is>
      </c>
      <c r="C25" s="29">
        <f>39</f>
        <v/>
      </c>
      <c r="D25" s="29">
        <f>COUNTIF('Casos de prueba'!$H$38:$H$76,"X")</f>
        <v/>
      </c>
      <c r="E25" s="29">
        <f>COUNTIF('Casos de prueba'!$I$38:$I$76,"X")</f>
        <v/>
      </c>
      <c r="F25" s="29">
        <f>C25-D25-E25</f>
        <v/>
      </c>
      <c r="G25" s="30">
        <f>IF(C25=0,0,(D25+E25)/C25)</f>
        <v/>
      </c>
    </row>
    <row r="26">
      <c r="B26" s="24" t="inlineStr">
        <is>
          <t>C. Errores y casos borde</t>
        </is>
      </c>
      <c r="C26" s="29">
        <f>60</f>
        <v/>
      </c>
      <c r="D26" s="29">
        <f>COUNTIF('Casos de prueba'!$H$77:$H$136,"X")</f>
        <v/>
      </c>
      <c r="E26" s="29">
        <f>COUNTIF('Casos de prueba'!$I$77:$I$136,"X")</f>
        <v/>
      </c>
      <c r="F26" s="29">
        <f>C26-D26-E26</f>
        <v/>
      </c>
      <c r="G26" s="30">
        <f>IF(C26=0,0,(D26+E26)/C26)</f>
        <v/>
      </c>
    </row>
    <row r="28">
      <c r="B28" s="3" t="inlineStr">
        <is>
          <t>Caso por caso</t>
        </is>
      </c>
    </row>
    <row r="29">
      <c r="A29" s="9" t="inlineStr"/>
      <c r="B29" s="9" t="inlineStr">
        <is>
          <t>Caso</t>
        </is>
      </c>
      <c r="C29" s="9" t="inlineStr">
        <is>
          <t>Pasos</t>
        </is>
      </c>
      <c r="D29" s="9" t="inlineStr">
        <is>
          <t>OK</t>
        </is>
      </c>
      <c r="E29" s="9" t="inlineStr">
        <is>
          <t>Fallas</t>
        </is>
      </c>
      <c r="F29" s="9" t="inlineStr">
        <is>
          <t>Sin probar</t>
        </is>
      </c>
      <c r="G29" s="9" t="inlineStr">
        <is>
          <t>Avance</t>
        </is>
      </c>
    </row>
    <row r="30">
      <c r="B30" s="11" t="inlineStr">
        <is>
          <t>CP-01 · Nace el pedido y el ERP lo ve en la cola</t>
        </is>
      </c>
      <c r="C30" s="29" t="n">
        <v>8</v>
      </c>
      <c r="D30" s="29">
        <f>COUNTIF('Casos de prueba'!$H$2:$H$9,"X")</f>
        <v/>
      </c>
      <c r="E30" s="29">
        <f>COUNTIF('Casos de prueba'!$I$2:$I$9,"X")</f>
        <v/>
      </c>
      <c r="F30" s="29">
        <f>C30-D30-E30</f>
        <v/>
      </c>
      <c r="G30" s="30">
        <f>IF(C30=0,0,(D30+E30)/C30)</f>
        <v/>
      </c>
    </row>
    <row r="31">
      <c r="B31" s="11" t="inlineStr">
        <is>
          <t>CP-02 · El ERP confirma el pedido (registra su O/C)</t>
        </is>
      </c>
      <c r="C31" s="29" t="n">
        <v>5</v>
      </c>
      <c r="D31" s="29">
        <f>COUNTIF('Casos de prueba'!$H$10:$H$14,"X")</f>
        <v/>
      </c>
      <c r="E31" s="29">
        <f>COUNTIF('Casos de prueba'!$I$10:$I$14,"X")</f>
        <v/>
      </c>
      <c r="F31" s="29">
        <f>C31-D31-E31</f>
        <v/>
      </c>
      <c r="G31" s="30">
        <f>IF(C31=0,0,(D31+E31)/C31)</f>
        <v/>
      </c>
    </row>
    <row r="32">
      <c r="B32" s="11" t="inlineStr">
        <is>
          <t>CP-03 · El ERP factura el pedido</t>
        </is>
      </c>
      <c r="C32" s="29" t="n">
        <v>5</v>
      </c>
      <c r="D32" s="29">
        <f>COUNTIF('Casos de prueba'!$H$15:$H$19,"X")</f>
        <v/>
      </c>
      <c r="E32" s="29">
        <f>COUNTIF('Casos de prueba'!$I$15:$I$19,"X")</f>
        <v/>
      </c>
      <c r="F32" s="29">
        <f>C32-D32-E32</f>
        <v/>
      </c>
      <c r="G32" s="30">
        <f>IF(C32=0,0,(D32+E32)/C32)</f>
        <v/>
      </c>
    </row>
    <row r="33">
      <c r="B33" s="11" t="inlineStr">
        <is>
          <t>CP-04 · El ERP anula un pedido y vuelve el inventario</t>
        </is>
      </c>
      <c r="C33" s="29" t="n">
        <v>7</v>
      </c>
      <c r="D33" s="29">
        <f>COUNTIF('Casos de prueba'!$H$20:$H$26,"X")</f>
        <v/>
      </c>
      <c r="E33" s="29">
        <f>COUNTIF('Casos de prueba'!$I$20:$I$26,"X")</f>
        <v/>
      </c>
      <c r="F33" s="29">
        <f>C33-D33-E33</f>
        <v/>
      </c>
      <c r="G33" s="30">
        <f>IF(C33=0,0,(D33+E33)/C33)</f>
        <v/>
      </c>
    </row>
    <row r="34">
      <c r="B34" s="11" t="inlineStr">
        <is>
          <t>CP-05 · Consultar un pedido puntual por id y por UUID</t>
        </is>
      </c>
      <c r="C34" s="29" t="n">
        <v>5</v>
      </c>
      <c r="D34" s="29">
        <f>COUNTIF('Casos de prueba'!$H$27:$H$31,"X")</f>
        <v/>
      </c>
      <c r="E34" s="29">
        <f>COUNTIF('Casos de prueba'!$I$27:$I$31,"X")</f>
        <v/>
      </c>
      <c r="F34" s="29">
        <f>C34-D34-E34</f>
        <v/>
      </c>
      <c r="G34" s="30">
        <f>IF(C34=0,0,(D34+E34)/C34)</f>
        <v/>
      </c>
    </row>
    <row r="35">
      <c r="B35" s="11" t="inlineStr">
        <is>
          <t>CP-06 · Paginación de la cola y cabeceras Link</t>
        </is>
      </c>
      <c r="C35" s="29" t="n">
        <v>6</v>
      </c>
      <c r="D35" s="29">
        <f>COUNTIF('Casos de prueba'!$H$32:$H$37,"X")</f>
        <v/>
      </c>
      <c r="E35" s="29">
        <f>COUNTIF('Casos de prueba'!$I$32:$I$37,"X")</f>
        <v/>
      </c>
      <c r="F35" s="29">
        <f>C35-D35-E35</f>
        <v/>
      </c>
      <c r="G35" s="30">
        <f>IF(C35=0,0,(D35+E35)/C35)</f>
        <v/>
      </c>
    </row>
    <row r="36">
      <c r="B36" s="11" t="inlineStr">
        <is>
          <t>CP-07 · El total del pedido cuadra: base + IVA = total</t>
        </is>
      </c>
      <c r="C36" s="29" t="n">
        <v>7</v>
      </c>
      <c r="D36" s="29">
        <f>COUNTIF('Casos de prueba'!$H$38:$H$44,"X")</f>
        <v/>
      </c>
      <c r="E36" s="29">
        <f>COUNTIF('Casos de prueba'!$I$38:$I$44,"X")</f>
        <v/>
      </c>
      <c r="F36" s="29">
        <f>C36-D36-E36</f>
        <v/>
      </c>
      <c r="G36" s="30">
        <f>IF(C36=0,0,(D36+E36)/C36)</f>
        <v/>
      </c>
    </row>
    <row r="37">
      <c r="B37" s="11" t="inlineStr">
        <is>
          <t>CP-08 · La tasa del pedido es la vigente al momento de la compra</t>
        </is>
      </c>
      <c r="C37" s="29" t="n">
        <v>6</v>
      </c>
      <c r="D37" s="29">
        <f>COUNTIF('Casos de prueba'!$H$45:$H$50,"X")</f>
        <v/>
      </c>
      <c r="E37" s="29">
        <f>COUNTIF('Casos de prueba'!$I$45:$I$50,"X")</f>
        <v/>
      </c>
      <c r="F37" s="29">
        <f>C37-D37-E37</f>
        <v/>
      </c>
      <c r="G37" s="30">
        <f>IF(C37=0,0,(D37+E37)/C37)</f>
        <v/>
      </c>
    </row>
    <row r="38">
      <c r="B38" s="11" t="inlineStr">
        <is>
          <t>CP-09 · Los montos en bolívares cuadran con los dólares por la tasa</t>
        </is>
      </c>
      <c r="C38" s="29" t="n">
        <v>6</v>
      </c>
      <c r="D38" s="29">
        <f>COUNTIF('Casos de prueba'!$H$51:$H$56,"X")</f>
        <v/>
      </c>
      <c r="E38" s="29">
        <f>COUNTIF('Casos de prueba'!$I$51:$I$56,"X")</f>
        <v/>
      </c>
      <c r="F38" s="29">
        <f>C38-D38-E38</f>
        <v/>
      </c>
      <c r="G38" s="30">
        <f>IF(C38=0,0,(D38+E38)/C38)</f>
        <v/>
      </c>
    </row>
    <row r="39">
      <c r="B39" s="11" t="inlineStr">
        <is>
          <t>CP-10 · El desglose por ítem suma el total</t>
        </is>
      </c>
      <c r="C39" s="29" t="n">
        <v>6</v>
      </c>
      <c r="D39" s="29">
        <f>COUNTIF('Casos de prueba'!$H$57:$H$62,"X")</f>
        <v/>
      </c>
      <c r="E39" s="29">
        <f>COUNTIF('Casos de prueba'!$I$57:$I$62,"X")</f>
        <v/>
      </c>
      <c r="F39" s="29">
        <f>C39-D39-E39</f>
        <v/>
      </c>
      <c r="G39" s="30">
        <f>IF(C39=0,0,(D39+E39)/C39)</f>
        <v/>
      </c>
    </row>
    <row r="40">
      <c r="B40" s="11" t="inlineStr">
        <is>
          <t>CP-11 · Pedido con cupón de descuento</t>
        </is>
      </c>
      <c r="C40" s="29" t="n">
        <v>9</v>
      </c>
      <c r="D40" s="29">
        <f>COUNTIF('Casos de prueba'!$H$63:$H$71,"X")</f>
        <v/>
      </c>
      <c r="E40" s="29">
        <f>COUNTIF('Casos de prueba'!$I$63:$I$71,"X")</f>
        <v/>
      </c>
      <c r="F40" s="29">
        <f>C40-D40-E40</f>
        <v/>
      </c>
      <c r="G40" s="30">
        <f>IF(C40=0,0,(D40+E40)/C40)</f>
        <v/>
      </c>
    </row>
    <row r="41">
      <c r="B41" s="11" t="inlineStr">
        <is>
          <t>CP-12 · Envío a domicilio contra retiro en tienda</t>
        </is>
      </c>
      <c r="C41" s="29" t="n">
        <v>5</v>
      </c>
      <c r="D41" s="29">
        <f>COUNTIF('Casos de prueba'!$H$72:$H$76,"X")</f>
        <v/>
      </c>
      <c r="E41" s="29">
        <f>COUNTIF('Casos de prueba'!$I$72:$I$76,"X")</f>
        <v/>
      </c>
      <c r="F41" s="29">
        <f>C41-D41-E41</f>
        <v/>
      </c>
      <c r="G41" s="30">
        <f>IF(C41=0,0,(D41+E41)/C41)</f>
        <v/>
      </c>
    </row>
    <row r="42">
      <c r="B42" s="11" t="inlineStr">
        <is>
          <t>CP-13 · Llamar sin llave de API</t>
        </is>
      </c>
      <c r="C42" s="29" t="n">
        <v>4</v>
      </c>
      <c r="D42" s="29">
        <f>COUNTIF('Casos de prueba'!$H$77:$H$80,"X")</f>
        <v/>
      </c>
      <c r="E42" s="29">
        <f>COUNTIF('Casos de prueba'!$I$77:$I$80,"X")</f>
        <v/>
      </c>
      <c r="F42" s="29">
        <f>C42-D42-E42</f>
        <v/>
      </c>
      <c r="G42" s="30">
        <f>IF(C42=0,0,(D42+E42)/C42)</f>
        <v/>
      </c>
    </row>
    <row r="43">
      <c r="B43" s="11" t="inlineStr">
        <is>
          <t>CP-14 · Llamar con llave inválida o desactivada</t>
        </is>
      </c>
      <c r="C43" s="29" t="n">
        <v>4</v>
      </c>
      <c r="D43" s="29">
        <f>COUNTIF('Casos de prueba'!$H$81:$H$84,"X")</f>
        <v/>
      </c>
      <c r="E43" s="29">
        <f>COUNTIF('Casos de prueba'!$I$81:$I$84,"X")</f>
        <v/>
      </c>
      <c r="F43" s="29">
        <f>C43-D43-E43</f>
        <v/>
      </c>
      <c r="G43" s="30">
        <f>IF(C43=0,0,(D43+E43)/C43)</f>
        <v/>
      </c>
    </row>
    <row r="44">
      <c r="B44" s="11" t="inlineStr">
        <is>
          <t>CP-15 · Permisos de la llave: lectura contra escritura</t>
        </is>
      </c>
      <c r="C44" s="29" t="n">
        <v>4</v>
      </c>
      <c r="D44" s="29">
        <f>COUNTIF('Casos de prueba'!$H$85:$H$88,"X")</f>
        <v/>
      </c>
      <c r="E44" s="29">
        <f>COUNTIF('Casos de prueba'!$I$85:$I$88,"X")</f>
        <v/>
      </c>
      <c r="F44" s="29">
        <f>C44-D44-E44</f>
        <v/>
      </c>
      <c r="G44" s="30">
        <f>IF(C44=0,0,(D44+E44)/C44)</f>
        <v/>
      </c>
    </row>
    <row r="45">
      <c r="B45" s="11" t="inlineStr">
        <is>
          <t>CP-16 · Confirmar sin la orden de compra (order_key)</t>
        </is>
      </c>
      <c r="C45" s="29" t="n">
        <v>3</v>
      </c>
      <c r="D45" s="29">
        <f>COUNTIF('Casos de prueba'!$H$89:$H$91,"X")</f>
        <v/>
      </c>
      <c r="E45" s="29">
        <f>COUNTIF('Casos de prueba'!$I$89:$I$91,"X")</f>
        <v/>
      </c>
      <c r="F45" s="29">
        <f>C45-D45-E45</f>
        <v/>
      </c>
      <c r="G45" s="30">
        <f>IF(C45=0,0,(D45+E45)/C45)</f>
        <v/>
      </c>
    </row>
    <row r="46">
      <c r="B46" s="11" t="inlineStr">
        <is>
          <t>CP-17 · Facturar sin los datos obligatorios</t>
        </is>
      </c>
      <c r="C46" s="29" t="n">
        <v>3</v>
      </c>
      <c r="D46" s="29">
        <f>COUNTIF('Casos de prueba'!$H$92:$H$94,"X")</f>
        <v/>
      </c>
      <c r="E46" s="29">
        <f>COUNTIF('Casos de prueba'!$I$92:$I$94,"X")</f>
        <v/>
      </c>
      <c r="F46" s="29">
        <f>C46-D46-E46</f>
        <v/>
      </c>
      <c r="G46" s="30">
        <f>IF(C46=0,0,(D46+E46)/C46)</f>
        <v/>
      </c>
    </row>
    <row r="47">
      <c r="B47" s="11" t="inlineStr">
        <is>
          <t>CP-18 · Anular sin la fecha</t>
        </is>
      </c>
      <c r="C47" s="29" t="n">
        <v>3</v>
      </c>
      <c r="D47" s="29">
        <f>COUNTIF('Casos de prueba'!$H$95:$H$97,"X")</f>
        <v/>
      </c>
      <c r="E47" s="29">
        <f>COUNTIF('Casos de prueba'!$I$95:$I$97,"X")</f>
        <v/>
      </c>
      <c r="F47" s="29">
        <f>C47-D47-E47</f>
        <v/>
      </c>
      <c r="G47" s="30">
        <f>IF(C47=0,0,(D47+E47)/C47)</f>
        <v/>
      </c>
    </row>
    <row r="48">
      <c r="B48" s="11" t="inlineStr">
        <is>
          <t>CP-19 · Trabajar sobre un pedido que no existe</t>
        </is>
      </c>
      <c r="C48" s="29" t="n">
        <v>3</v>
      </c>
      <c r="D48" s="29">
        <f>COUNTIF('Casos de prueba'!$H$98:$H$100,"X")</f>
        <v/>
      </c>
      <c r="E48" s="29">
        <f>COUNTIF('Casos de prueba'!$I$98:$I$100,"X")</f>
        <v/>
      </c>
      <c r="F48" s="29">
        <f>C48-D48-E48</f>
        <v/>
      </c>
      <c r="G48" s="30">
        <f>IF(C48=0,0,(D48+E48)/C48)</f>
        <v/>
      </c>
    </row>
    <row r="49">
      <c r="B49" s="11" t="inlineStr">
        <is>
          <t>CP-20 · Id que no es un número</t>
        </is>
      </c>
      <c r="C49" s="29" t="n">
        <v>3</v>
      </c>
      <c r="D49" s="29">
        <f>COUNTIF('Casos de prueba'!$H$101:$H$103,"X")</f>
        <v/>
      </c>
      <c r="E49" s="29">
        <f>COUNTIF('Casos de prueba'!$I$101:$I$103,"X")</f>
        <v/>
      </c>
      <c r="F49" s="29">
        <f>C49-D49-E49</f>
        <v/>
      </c>
      <c r="G49" s="30">
        <f>IF(C49=0,0,(D49+E49)/C49)</f>
        <v/>
      </c>
    </row>
    <row r="50">
      <c r="B50" s="11" t="inlineStr">
        <is>
          <t>CP-21 · Confirmar dos veces el mismo pedido (idempotencia)</t>
        </is>
      </c>
      <c r="C50" s="29" t="n">
        <v>5</v>
      </c>
      <c r="D50" s="29">
        <f>COUNTIF('Casos de prueba'!$H$104:$H$108,"X")</f>
        <v/>
      </c>
      <c r="E50" s="29">
        <f>COUNTIF('Casos de prueba'!$I$104:$I$108,"X")</f>
        <v/>
      </c>
      <c r="F50" s="29">
        <f>C50-D50-E50</f>
        <v/>
      </c>
      <c r="G50" s="30">
        <f>IF(C50=0,0,(D50+E50)/C50)</f>
        <v/>
      </c>
    </row>
    <row r="51">
      <c r="B51" s="11" t="inlineStr">
        <is>
          <t>CP-22 · Facturar un pedido que no está en pendiente</t>
        </is>
      </c>
      <c r="C51" s="29" t="n">
        <v>4</v>
      </c>
      <c r="D51" s="29">
        <f>COUNTIF('Casos de prueba'!$H$109:$H$112,"X")</f>
        <v/>
      </c>
      <c r="E51" s="29">
        <f>COUNTIF('Casos de prueba'!$I$109:$I$112,"X")</f>
        <v/>
      </c>
      <c r="F51" s="29">
        <f>C51-D51-E51</f>
        <v/>
      </c>
      <c r="G51" s="30">
        <f>IF(C51=0,0,(D51+E51)/C51)</f>
        <v/>
      </c>
    </row>
    <row r="52">
      <c r="B52" s="11" t="inlineStr">
        <is>
          <t>CP-23 · Anular un pedido que no corresponde</t>
        </is>
      </c>
      <c r="C52" s="29" t="n">
        <v>4</v>
      </c>
      <c r="D52" s="29">
        <f>COUNTIF('Casos de prueba'!$H$113:$H$116,"X")</f>
        <v/>
      </c>
      <c r="E52" s="29">
        <f>COUNTIF('Casos de prueba'!$I$113:$I$116,"X")</f>
        <v/>
      </c>
      <c r="F52" s="29">
        <f>C52-D52-E52</f>
        <v/>
      </c>
      <c r="G52" s="30">
        <f>IF(C52=0,0,(D52+E52)/C52)</f>
        <v/>
      </c>
    </row>
    <row r="53">
      <c r="B53" s="11" t="inlineStr">
        <is>
          <t>CP-24 · Fecha de facturación mal escrita</t>
        </is>
      </c>
      <c r="C53" s="29" t="n">
        <v>6</v>
      </c>
      <c r="D53" s="29">
        <f>COUNTIF('Casos de prueba'!$H$117:$H$122,"X")</f>
        <v/>
      </c>
      <c r="E53" s="29">
        <f>COUNTIF('Casos de prueba'!$I$117:$I$122,"X")</f>
        <v/>
      </c>
      <c r="F53" s="29">
        <f>C53-D53-E53</f>
        <v/>
      </c>
      <c r="G53" s="30">
        <f>IF(C53=0,0,(D53+E53)/C53)</f>
        <v/>
      </c>
    </row>
    <row r="54">
      <c r="B54" s="11" t="inlineStr">
        <is>
          <t>CP-25 · Cuerpo del mensaje mal armado</t>
        </is>
      </c>
      <c r="C54" s="29" t="n">
        <v>5</v>
      </c>
      <c r="D54" s="29">
        <f>COUNTIF('Casos de prueba'!$H$123:$H$127,"X")</f>
        <v/>
      </c>
      <c r="E54" s="29">
        <f>COUNTIF('Casos de prueba'!$I$123:$I$127,"X")</f>
        <v/>
      </c>
      <c r="F54" s="29">
        <f>C54-D54-E54</f>
        <v/>
      </c>
      <c r="G54" s="30">
        <f>IF(C54=0,0,(D54+E54)/C54)</f>
        <v/>
      </c>
    </row>
    <row r="55">
      <c r="B55" s="11" t="inlineStr">
        <is>
          <t>CP-26 · Paginación con valores exagerados o raros</t>
        </is>
      </c>
      <c r="C55" s="29" t="n">
        <v>6</v>
      </c>
      <c r="D55" s="29">
        <f>COUNTIF('Casos de prueba'!$H$128:$H$133,"X")</f>
        <v/>
      </c>
      <c r="E55" s="29">
        <f>COUNTIF('Casos de prueba'!$I$128:$I$133,"X")</f>
        <v/>
      </c>
      <c r="F55" s="29">
        <f>C55-D55-E55</f>
        <v/>
      </c>
      <c r="G55" s="30">
        <f>IF(C55=0,0,(D55+E55)/C55)</f>
        <v/>
      </c>
    </row>
    <row r="56">
      <c r="B56" s="11" t="inlineStr">
        <is>
          <t>CP-27 · Endpoints que el ERP NO debe usar</t>
        </is>
      </c>
      <c r="C56" s="29" t="n">
        <v>3</v>
      </c>
      <c r="D56" s="29">
        <f>COUNTIF('Casos de prueba'!$H$134:$H$136,"X")</f>
        <v/>
      </c>
      <c r="E56" s="29">
        <f>COUNTIF('Casos de prueba'!$I$134:$I$136,"X")</f>
        <v/>
      </c>
      <c r="F56" s="29">
        <f>C56-D56-E56</f>
        <v/>
      </c>
      <c r="G56" s="30">
        <f>IF(C56=0,0,(D56+E56)/C56)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2026-08-01T06:51:10Z</dcterms:created>
  <dcterms:modified xsi:type="dcterms:W3CDTF">2026-08-01T06:51:10Z</dcterms:modified>
</cp:coreProperties>
</file>